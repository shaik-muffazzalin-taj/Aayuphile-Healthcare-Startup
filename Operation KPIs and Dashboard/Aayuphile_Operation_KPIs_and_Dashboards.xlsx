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hidePivotFieldList="1"/>
  <xr:revisionPtr revIDLastSave="0" documentId="8_{3D5FDB44-9C5E-4B32-8F7A-85639D362B2E}" xr6:coauthVersionLast="47" xr6:coauthVersionMax="47" xr10:uidLastSave="{00000000-0000-0000-0000-000000000000}"/>
  <bookViews>
    <workbookView xWindow="240" yWindow="105" windowWidth="14805" windowHeight="8010" firstSheet="3" activeTab="4" xr2:uid="{00000000-000D-0000-FFFF-FFFF00000000}"/>
  </bookViews>
  <sheets>
    <sheet name="Raw data" sheetId="1" r:id="rId1"/>
    <sheet name="Dashboard" sheetId="17" r:id="rId2"/>
    <sheet name="KPI Dashboard" sheetId="19" r:id="rId3"/>
    <sheet name="Analysis" sheetId="20" r:id="rId4"/>
    <sheet name="Backend Data" sheetId="16" r:id="rId5"/>
  </sheets>
  <definedNames>
    <definedName name="_xlnm._FilterDatabase" localSheetId="0" hidden="1">'Raw data'!$J$1:$J$201</definedName>
    <definedName name="Slicer_Appointment_Type2">#N/A</definedName>
    <definedName name="Slicer_Department">#N/A</definedName>
    <definedName name="Slicer_Region1">#N/A</definedName>
    <definedName name="Slicer_Subscription_Plan">#N/A</definedName>
  </definedNames>
  <calcPr calcId="191028"/>
  <pivotCaches>
    <pivotCache cacheId="12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19" l="1"/>
  <c r="I17" i="19"/>
  <c r="R10" i="19"/>
  <c r="K10" i="19"/>
  <c r="F10" i="19"/>
</calcChain>
</file>

<file path=xl/sharedStrings.xml><?xml version="1.0" encoding="utf-8"?>
<sst xmlns="http://schemas.openxmlformats.org/spreadsheetml/2006/main" count="3034" uniqueCount="486">
  <si>
    <t>Record ID</t>
  </si>
  <si>
    <t>Date</t>
  </si>
  <si>
    <t>Patient Name</t>
  </si>
  <si>
    <t>Age</t>
  </si>
  <si>
    <t>Gender</t>
  </si>
  <si>
    <t>Region</t>
  </si>
  <si>
    <t>City/Town</t>
  </si>
  <si>
    <t>Hospital Name</t>
  </si>
  <si>
    <t>Doctor Name</t>
  </si>
  <si>
    <t>Department</t>
  </si>
  <si>
    <t>Appointment Type</t>
  </si>
  <si>
    <t>Booking Channel</t>
  </si>
  <si>
    <t>Appointment Status</t>
  </si>
  <si>
    <t>Response Time (min)</t>
  </si>
  <si>
    <t>Waiting Time (min)</t>
  </si>
  <si>
    <t>Treatment Cost (₹)</t>
  </si>
  <si>
    <t>Follow-Up Required</t>
  </si>
  <si>
    <t>Emergency Alert Triggered</t>
  </si>
  <si>
    <t>Subscription Plan</t>
  </si>
  <si>
    <t>User Rating (/5)</t>
  </si>
  <si>
    <t>AYH-001</t>
  </si>
  <si>
    <t>Priyanka Rana</t>
  </si>
  <si>
    <t>M</t>
  </si>
  <si>
    <t>North</t>
  </si>
  <si>
    <t>Delhi</t>
  </si>
  <si>
    <t>Max Super Specialty</t>
  </si>
  <si>
    <t>Dr. Anita Mehta</t>
  </si>
  <si>
    <t>Gynecology</t>
  </si>
  <si>
    <t>Regular</t>
  </si>
  <si>
    <t>App</t>
  </si>
  <si>
    <t>Completed</t>
  </si>
  <si>
    <t>Yes</t>
  </si>
  <si>
    <t>Free</t>
  </si>
  <si>
    <t>AYH-002</t>
  </si>
  <si>
    <t>Meena Nair</t>
  </si>
  <si>
    <t>West</t>
  </si>
  <si>
    <t>Ahmedabad</t>
  </si>
  <si>
    <t>Ruby Hall Clinic</t>
  </si>
  <si>
    <t>Dr. S. Reddy Das</t>
  </si>
  <si>
    <t>Cardiology</t>
  </si>
  <si>
    <t>Hospital Desk</t>
  </si>
  <si>
    <t>Basic</t>
  </si>
  <si>
    <t>AYH-003</t>
  </si>
  <si>
    <t>Geeta Bora</t>
  </si>
  <si>
    <t>Lucknow</t>
  </si>
  <si>
    <t>Fortis Health</t>
  </si>
  <si>
    <t>Dr. Nikhil Das</t>
  </si>
  <si>
    <t>Teleconsultation</t>
  </si>
  <si>
    <t>No</t>
  </si>
  <si>
    <t>Premium</t>
  </si>
  <si>
    <t>AYH-004</t>
  </si>
  <si>
    <t>Meena Bora</t>
  </si>
  <si>
    <t>F</t>
  </si>
  <si>
    <t>East</t>
  </si>
  <si>
    <t>Patna</t>
  </si>
  <si>
    <t>AIIMS Patna</t>
  </si>
  <si>
    <t>AYH-005</t>
  </si>
  <si>
    <t>Alok Rana</t>
  </si>
  <si>
    <t>Kolkata</t>
  </si>
  <si>
    <t>Dr. S. Kumar Das</t>
  </si>
  <si>
    <t>ENT</t>
  </si>
  <si>
    <t>No-Show</t>
  </si>
  <si>
    <t>AYH-006</t>
  </si>
  <si>
    <t>Suresh Ghosh</t>
  </si>
  <si>
    <t>Pune</t>
  </si>
  <si>
    <t>Hiranandani Hospital</t>
  </si>
  <si>
    <t>Dr. S. Reddy Joshi</t>
  </si>
  <si>
    <t>Orthopedics</t>
  </si>
  <si>
    <t>SMS</t>
  </si>
  <si>
    <t>AYH-007</t>
  </si>
  <si>
    <t>Pradeep Shah</t>
  </si>
  <si>
    <t>Jaipur</t>
  </si>
  <si>
    <t>Dr. Amit Verma</t>
  </si>
  <si>
    <t>Neurology</t>
  </si>
  <si>
    <t>Cancelled</t>
  </si>
  <si>
    <t>AYH-008</t>
  </si>
  <si>
    <t>Meena Ali</t>
  </si>
  <si>
    <t>South</t>
  </si>
  <si>
    <t>Coimbatore</t>
  </si>
  <si>
    <t>Apollo Hospitals</t>
  </si>
  <si>
    <t>Dr. Meera Mehta</t>
  </si>
  <si>
    <t>AYH-009</t>
  </si>
  <si>
    <t>Geeta Shah</t>
  </si>
  <si>
    <t>Dr. Nikhil Mishra</t>
  </si>
  <si>
    <t>General Medicine</t>
  </si>
  <si>
    <t>AYH-010</t>
  </si>
  <si>
    <t>Arjun Shah</t>
  </si>
  <si>
    <t>Dr. Anita Mishra</t>
  </si>
  <si>
    <t>Emergency</t>
  </si>
  <si>
    <t>AYH-011</t>
  </si>
  <si>
    <t>Nisha Rana</t>
  </si>
  <si>
    <t>Bhubaneswar</t>
  </si>
  <si>
    <t>Apollo Kolkata</t>
  </si>
  <si>
    <t>Dr. Kunal Singh</t>
  </si>
  <si>
    <t>Dermatology</t>
  </si>
  <si>
    <t>AYH-012</t>
  </si>
  <si>
    <t>Lata Ghosh</t>
  </si>
  <si>
    <t>Dr. Priya Desai</t>
  </si>
  <si>
    <t>AYH-013</t>
  </si>
  <si>
    <t>Tanya Kumar</t>
  </si>
  <si>
    <t>Hyderabad</t>
  </si>
  <si>
    <t>Kauvery Hospital</t>
  </si>
  <si>
    <t>Dr. Amit Mehta</t>
  </si>
  <si>
    <t>AYH-014</t>
  </si>
  <si>
    <t>Alok Shah</t>
  </si>
  <si>
    <t>Mumbai</t>
  </si>
  <si>
    <t>Dr. Kunal Verma</t>
  </si>
  <si>
    <t>In Progress</t>
  </si>
  <si>
    <t>AYH-015</t>
  </si>
  <si>
    <t>Alok Ali</t>
  </si>
  <si>
    <t>Dr. Nikhil Singh</t>
  </si>
  <si>
    <t>AYH-016</t>
  </si>
  <si>
    <t>Vikas Joshi</t>
  </si>
  <si>
    <t>Oncology</t>
  </si>
  <si>
    <t>AYH-017</t>
  </si>
  <si>
    <t>Divya Shah</t>
  </si>
  <si>
    <t>Sterling Hospital</t>
  </si>
  <si>
    <t>AYH-018</t>
  </si>
  <si>
    <t>Sunil Ghosh</t>
  </si>
  <si>
    <t>Dr. Kunal Mishra</t>
  </si>
  <si>
    <t>AYH-019</t>
  </si>
  <si>
    <t>Aamir Shah</t>
  </si>
  <si>
    <t>Dr. Rahul Singh</t>
  </si>
  <si>
    <t>AYH-020</t>
  </si>
  <si>
    <t>Divya Patel</t>
  </si>
  <si>
    <t>AMRI Hospitals</t>
  </si>
  <si>
    <t>Dr. Rajesh Desai</t>
  </si>
  <si>
    <t>AYH-021</t>
  </si>
  <si>
    <t>Dr. Kunal Mehta</t>
  </si>
  <si>
    <t>AYH-022</t>
  </si>
  <si>
    <t>Alok Ghosh</t>
  </si>
  <si>
    <t>Dr. Meera Roy</t>
  </si>
  <si>
    <t>AYH-023</t>
  </si>
  <si>
    <t>Ravi Shah</t>
  </si>
  <si>
    <t>Medanta Care</t>
  </si>
  <si>
    <t>Dr. Anita Desai</t>
  </si>
  <si>
    <t>AYH-024</t>
  </si>
  <si>
    <t>Sunil Rana</t>
  </si>
  <si>
    <t>Chennai</t>
  </si>
  <si>
    <t>Dr. S. Kumar Roy</t>
  </si>
  <si>
    <t>AYH-025</t>
  </si>
  <si>
    <t>Suresh Nair</t>
  </si>
  <si>
    <t>AYH-026</t>
  </si>
  <si>
    <t>Geeta Rana</t>
  </si>
  <si>
    <t>Dr. Amit Singh</t>
  </si>
  <si>
    <t>AYH-027</t>
  </si>
  <si>
    <t>Meena Shah</t>
  </si>
  <si>
    <t>PSG Hospitals</t>
  </si>
  <si>
    <t>Dr. S. Kumar Joshi</t>
  </si>
  <si>
    <t>AYH-028</t>
  </si>
  <si>
    <t>Dr. Kunal Das</t>
  </si>
  <si>
    <t>AYH-029</t>
  </si>
  <si>
    <t>Farhan Bora</t>
  </si>
  <si>
    <t>Dr. Rahul Desai</t>
  </si>
  <si>
    <t>AYH-030</t>
  </si>
  <si>
    <t>Priyanka Shah</t>
  </si>
  <si>
    <t>Dr. Nikhil Desai</t>
  </si>
  <si>
    <t>AYH-031</t>
  </si>
  <si>
    <t>Arjun Rana</t>
  </si>
  <si>
    <t>Dr. Nikhil Verma</t>
  </si>
  <si>
    <t>AYH-032</t>
  </si>
  <si>
    <t>Rohit Ali</t>
  </si>
  <si>
    <t>Dr. S. Kumar Verma</t>
  </si>
  <si>
    <t>AYH-033</t>
  </si>
  <si>
    <t>Divya Das</t>
  </si>
  <si>
    <t>Dr. Rajesh Roy</t>
  </si>
  <si>
    <t>AYH-034</t>
  </si>
  <si>
    <t>Alok Kumar</t>
  </si>
  <si>
    <t>Dr. Meera Singh</t>
  </si>
  <si>
    <t>AYH-035</t>
  </si>
  <si>
    <t>Farhan Patel</t>
  </si>
  <si>
    <t>Dr. Amit Roy</t>
  </si>
  <si>
    <t>AYH-036</t>
  </si>
  <si>
    <t>Vikas Kumar</t>
  </si>
  <si>
    <t>Dr. Amit Desai</t>
  </si>
  <si>
    <t>AYH-037</t>
  </si>
  <si>
    <t>Kavita Rana</t>
  </si>
  <si>
    <t>AYH-038</t>
  </si>
  <si>
    <t>Rohit Nair</t>
  </si>
  <si>
    <t>Dr. S. Kumar Mishra</t>
  </si>
  <si>
    <t>AYH-039</t>
  </si>
  <si>
    <t>Nisha Ali</t>
  </si>
  <si>
    <t>AYH-040</t>
  </si>
  <si>
    <t>Rekha Nair</t>
  </si>
  <si>
    <t>AYH-041</t>
  </si>
  <si>
    <t>AYH-042</t>
  </si>
  <si>
    <t>Dr. Rahul Mehta</t>
  </si>
  <si>
    <t>AYH-043</t>
  </si>
  <si>
    <t>Kavita Ghosh</t>
  </si>
  <si>
    <t>AYH-044</t>
  </si>
  <si>
    <t>Geeta Joshi</t>
  </si>
  <si>
    <t>AYH-045</t>
  </si>
  <si>
    <t>Pradeep Das</t>
  </si>
  <si>
    <t>Dr. S. Reddy Verma</t>
  </si>
  <si>
    <t>AYH-046</t>
  </si>
  <si>
    <t>Vikas Rana</t>
  </si>
  <si>
    <t>Dr. Rahul Roy</t>
  </si>
  <si>
    <t>AYH-047</t>
  </si>
  <si>
    <t>Divya Nair</t>
  </si>
  <si>
    <t>AYH-048</t>
  </si>
  <si>
    <t>Nisha Nair</t>
  </si>
  <si>
    <t>AYH-049</t>
  </si>
  <si>
    <t>Arjun Ghosh</t>
  </si>
  <si>
    <t>Dr. S. Reddy Roy</t>
  </si>
  <si>
    <t>AYH-050</t>
  </si>
  <si>
    <t>AYH-051</t>
  </si>
  <si>
    <t>Suresh Das</t>
  </si>
  <si>
    <t>Dr. Anita Roy</t>
  </si>
  <si>
    <t>AYH-052</t>
  </si>
  <si>
    <t>Arjun Bora</t>
  </si>
  <si>
    <t>Dr. S. Reddy Desai</t>
  </si>
  <si>
    <t>AYH-053</t>
  </si>
  <si>
    <t>Dr. Meera Verma</t>
  </si>
  <si>
    <t>AYH-054</t>
  </si>
  <si>
    <t>Alok Patel</t>
  </si>
  <si>
    <t>Dr. Kunal Joshi</t>
  </si>
  <si>
    <t>AYH-055</t>
  </si>
  <si>
    <t>Dr. Amit Mishra</t>
  </si>
  <si>
    <t>AYH-056</t>
  </si>
  <si>
    <t>Sneha Kumar</t>
  </si>
  <si>
    <t>Dr. Rajesh Das</t>
  </si>
  <si>
    <t>AYH-057</t>
  </si>
  <si>
    <t>Aamir Joshi</t>
  </si>
  <si>
    <t>AYH-058</t>
  </si>
  <si>
    <t>AYH-059</t>
  </si>
  <si>
    <t>Rohit Ghosh</t>
  </si>
  <si>
    <t>Dr. Rahul Joshi</t>
  </si>
  <si>
    <t>AYH-060</t>
  </si>
  <si>
    <t>Meena Kumar</t>
  </si>
  <si>
    <t>AYH-061</t>
  </si>
  <si>
    <t>AYH-062</t>
  </si>
  <si>
    <t>Arjun Ali</t>
  </si>
  <si>
    <t>AYH-063</t>
  </si>
  <si>
    <t>Pradeep Patel</t>
  </si>
  <si>
    <t>Dr. Priya Verma</t>
  </si>
  <si>
    <t>AYH-064</t>
  </si>
  <si>
    <t>Suresh Joshi</t>
  </si>
  <si>
    <t>AYH-065</t>
  </si>
  <si>
    <t>AYH-066</t>
  </si>
  <si>
    <t>Farhan Nair</t>
  </si>
  <si>
    <t>AYH-067</t>
  </si>
  <si>
    <t>Farhan Joshi</t>
  </si>
  <si>
    <t>AYH-068</t>
  </si>
  <si>
    <t>Aamir Nair</t>
  </si>
  <si>
    <t>Dr. S. Reddy Mehta</t>
  </si>
  <si>
    <t>AYH-069</t>
  </si>
  <si>
    <t>Rohit Kumar</t>
  </si>
  <si>
    <t>Dr. Meera Mishra</t>
  </si>
  <si>
    <t>AYH-070</t>
  </si>
  <si>
    <t>AYH-071</t>
  </si>
  <si>
    <t>Rohit Rana</t>
  </si>
  <si>
    <t>AYH-072</t>
  </si>
  <si>
    <t>Rekha Rana</t>
  </si>
  <si>
    <t>Dr. Rahul Verma</t>
  </si>
  <si>
    <t>AYH-073</t>
  </si>
  <si>
    <t>Dr. Anita Joshi</t>
  </si>
  <si>
    <t>AYH-074</t>
  </si>
  <si>
    <t>AYH-075</t>
  </si>
  <si>
    <t>Aamir Ali</t>
  </si>
  <si>
    <t>Dr. Rajesh Mishra</t>
  </si>
  <si>
    <t>AYH-076</t>
  </si>
  <si>
    <t>AYH-077</t>
  </si>
  <si>
    <t>Geeta Das</t>
  </si>
  <si>
    <t>AYH-078</t>
  </si>
  <si>
    <t>Kavita Nair</t>
  </si>
  <si>
    <t>AYH-079</t>
  </si>
  <si>
    <t>AYH-080</t>
  </si>
  <si>
    <t>AYH-081</t>
  </si>
  <si>
    <t>Vikas Das</t>
  </si>
  <si>
    <t>AYH-082</t>
  </si>
  <si>
    <t>Priyanka Ali</t>
  </si>
  <si>
    <t>AYH-083</t>
  </si>
  <si>
    <t>Priyanka Joshi</t>
  </si>
  <si>
    <t>AYH-084</t>
  </si>
  <si>
    <t>AYH-085</t>
  </si>
  <si>
    <t>Divya Kumar</t>
  </si>
  <si>
    <t>Dr. Amit Joshi</t>
  </si>
  <si>
    <t>AYH-086</t>
  </si>
  <si>
    <t>Arjun Joshi</t>
  </si>
  <si>
    <t>Dr. Nikhil Joshi</t>
  </si>
  <si>
    <t>AYH-087</t>
  </si>
  <si>
    <t>Lata Joshi</t>
  </si>
  <si>
    <t>AYH-088</t>
  </si>
  <si>
    <t>Aamir Kumar</t>
  </si>
  <si>
    <t>Dr. Rahul Mishra</t>
  </si>
  <si>
    <t>AYH-089</t>
  </si>
  <si>
    <t>AYH-090</t>
  </si>
  <si>
    <t>Tanya Nair</t>
  </si>
  <si>
    <t>AYH-091</t>
  </si>
  <si>
    <t>Priyanka Ghosh</t>
  </si>
  <si>
    <t>Dr. Nikhil Roy</t>
  </si>
  <si>
    <t>AYH-092</t>
  </si>
  <si>
    <t>Tanya Bora</t>
  </si>
  <si>
    <t>Dr. Anita Singh</t>
  </si>
  <si>
    <t>AYH-093</t>
  </si>
  <si>
    <t>Rohit Bora</t>
  </si>
  <si>
    <t>Dr. Priya Joshi</t>
  </si>
  <si>
    <t>AYH-094</t>
  </si>
  <si>
    <t>Pradeep Nair</t>
  </si>
  <si>
    <t>Dr. Rahul Das</t>
  </si>
  <si>
    <t>AYH-095</t>
  </si>
  <si>
    <t>Lata Patel</t>
  </si>
  <si>
    <t>Dr. Meera Das</t>
  </si>
  <si>
    <t>AYH-096</t>
  </si>
  <si>
    <t>Farhan Das</t>
  </si>
  <si>
    <t>AYH-097</t>
  </si>
  <si>
    <t>Sneha Patel</t>
  </si>
  <si>
    <t>AYH-098</t>
  </si>
  <si>
    <t>Lata Das</t>
  </si>
  <si>
    <t>Dr. Priya Roy</t>
  </si>
  <si>
    <t>AYH-099</t>
  </si>
  <si>
    <t>AYH-100</t>
  </si>
  <si>
    <t>AYH-101</t>
  </si>
  <si>
    <t>Lata Bora</t>
  </si>
  <si>
    <t>Dr. Nikhil Mehta</t>
  </si>
  <si>
    <t>AYH-102</t>
  </si>
  <si>
    <t>Dr. Meera Joshi</t>
  </si>
  <si>
    <t>AYH-103</t>
  </si>
  <si>
    <t>Tanya Shah</t>
  </si>
  <si>
    <t>AYH-104</t>
  </si>
  <si>
    <t>Suresh Kumar</t>
  </si>
  <si>
    <t>AYH-105</t>
  </si>
  <si>
    <t>AYH-106</t>
  </si>
  <si>
    <t>Meena Das</t>
  </si>
  <si>
    <t>AYH-107</t>
  </si>
  <si>
    <t>Dr. Kunal Desai</t>
  </si>
  <si>
    <t>AYH-108</t>
  </si>
  <si>
    <t>Sunil Ali</t>
  </si>
  <si>
    <t>AYH-109</t>
  </si>
  <si>
    <t>Aamir Ghosh</t>
  </si>
  <si>
    <t>AYH-110</t>
  </si>
  <si>
    <t>Kavita Kumar</t>
  </si>
  <si>
    <t>AYH-111</t>
  </si>
  <si>
    <t>Vikas Ghosh</t>
  </si>
  <si>
    <t>AYH-112</t>
  </si>
  <si>
    <t>AYH-113</t>
  </si>
  <si>
    <t>Lata Nair</t>
  </si>
  <si>
    <t>AYH-114</t>
  </si>
  <si>
    <t>AYH-115</t>
  </si>
  <si>
    <t>Geeta Ghosh</t>
  </si>
  <si>
    <t>AYH-116</t>
  </si>
  <si>
    <t>Divya Bora</t>
  </si>
  <si>
    <t>AYH-117</t>
  </si>
  <si>
    <t>Dr. S. Reddy Singh</t>
  </si>
  <si>
    <t>AYH-118</t>
  </si>
  <si>
    <t>Priyanka Nair</t>
  </si>
  <si>
    <t>AYH-119</t>
  </si>
  <si>
    <t>Meena Ghosh</t>
  </si>
  <si>
    <t>AYH-120</t>
  </si>
  <si>
    <t>Nisha Patel</t>
  </si>
  <si>
    <t>Dr. Priya Mishra</t>
  </si>
  <si>
    <t>AYH-121</t>
  </si>
  <si>
    <t>Meena Rana</t>
  </si>
  <si>
    <t>AYH-122</t>
  </si>
  <si>
    <t>AYH-123</t>
  </si>
  <si>
    <t>Farhan Shah</t>
  </si>
  <si>
    <t>AYH-124</t>
  </si>
  <si>
    <t>AYH-125</t>
  </si>
  <si>
    <t>AYH-126</t>
  </si>
  <si>
    <t>Sneha Rana</t>
  </si>
  <si>
    <t>AYH-127</t>
  </si>
  <si>
    <t>AYH-128</t>
  </si>
  <si>
    <t>AYH-129</t>
  </si>
  <si>
    <t>AYH-130</t>
  </si>
  <si>
    <t>Nisha Joshi</t>
  </si>
  <si>
    <t>AYH-131</t>
  </si>
  <si>
    <t>Tanya Rana</t>
  </si>
  <si>
    <t>AYH-132</t>
  </si>
  <si>
    <t>Pradeep Kumar</t>
  </si>
  <si>
    <t>AYH-133</t>
  </si>
  <si>
    <t>Tanya Patel</t>
  </si>
  <si>
    <t>AYH-134</t>
  </si>
  <si>
    <t>Rekha Ali</t>
  </si>
  <si>
    <t>AYH-135</t>
  </si>
  <si>
    <t>AYH-136</t>
  </si>
  <si>
    <t>Ravi Ghosh</t>
  </si>
  <si>
    <t>AYH-137</t>
  </si>
  <si>
    <t>Sneha Nair</t>
  </si>
  <si>
    <t>Dr. Meera Desai</t>
  </si>
  <si>
    <t>AYH-138</t>
  </si>
  <si>
    <t>AYH-139</t>
  </si>
  <si>
    <t>Nisha Das</t>
  </si>
  <si>
    <t>AYH-140</t>
  </si>
  <si>
    <t>Tanya Joshi</t>
  </si>
  <si>
    <t>AYH-141</t>
  </si>
  <si>
    <t>AYH-142</t>
  </si>
  <si>
    <t>AYH-143</t>
  </si>
  <si>
    <t>AYH-144</t>
  </si>
  <si>
    <t>Ravi Das</t>
  </si>
  <si>
    <t>AYH-145</t>
  </si>
  <si>
    <t>AYH-146</t>
  </si>
  <si>
    <t>Dr. Rajesh Singh</t>
  </si>
  <si>
    <t>AYH-147</t>
  </si>
  <si>
    <t>Aamir Patel</t>
  </si>
  <si>
    <t>Dr. Amit Das</t>
  </si>
  <si>
    <t>AYH-148</t>
  </si>
  <si>
    <t>AYH-149</t>
  </si>
  <si>
    <t>Priyanka Kumar</t>
  </si>
  <si>
    <t>AYH-150</t>
  </si>
  <si>
    <t>AYH-151</t>
  </si>
  <si>
    <t>AYH-152</t>
  </si>
  <si>
    <t>Aamir Das</t>
  </si>
  <si>
    <t>AYH-153</t>
  </si>
  <si>
    <t>AYH-154</t>
  </si>
  <si>
    <t>Alok Nair</t>
  </si>
  <si>
    <t>AYH-155</t>
  </si>
  <si>
    <t>Dr. Priya Das</t>
  </si>
  <si>
    <t>AYH-156</t>
  </si>
  <si>
    <t>Dr. Priya Mehta</t>
  </si>
  <si>
    <t>AYH-157</t>
  </si>
  <si>
    <t>AYH-158</t>
  </si>
  <si>
    <t>AYH-159</t>
  </si>
  <si>
    <t>Tanya Ghosh</t>
  </si>
  <si>
    <t>Dr. S. Kumar Mehta</t>
  </si>
  <si>
    <t>AYH-160</t>
  </si>
  <si>
    <t>Arjun Kumar</t>
  </si>
  <si>
    <t>AYH-161</t>
  </si>
  <si>
    <t>AYH-162</t>
  </si>
  <si>
    <t>AYH-163</t>
  </si>
  <si>
    <t>Rohit Shah</t>
  </si>
  <si>
    <t>AYH-164</t>
  </si>
  <si>
    <t>AYH-165</t>
  </si>
  <si>
    <t>AYH-166</t>
  </si>
  <si>
    <t>AYH-167</t>
  </si>
  <si>
    <t>Sneha Das</t>
  </si>
  <si>
    <t>Dr. Rajesh Mehta</t>
  </si>
  <si>
    <t>AYH-168</t>
  </si>
  <si>
    <t>Ravi Bora</t>
  </si>
  <si>
    <t>AYH-169</t>
  </si>
  <si>
    <t>Dr. S. Kumar Desai</t>
  </si>
  <si>
    <t>AYH-170</t>
  </si>
  <si>
    <t>AYH-171</t>
  </si>
  <si>
    <t>AYH-172</t>
  </si>
  <si>
    <t>AYH-173</t>
  </si>
  <si>
    <t>AYH-174</t>
  </si>
  <si>
    <t>Geeta Patel</t>
  </si>
  <si>
    <t>AYH-175</t>
  </si>
  <si>
    <t>AYH-176</t>
  </si>
  <si>
    <t>AYH-177</t>
  </si>
  <si>
    <t>AYH-178</t>
  </si>
  <si>
    <t>Kavita Das</t>
  </si>
  <si>
    <t>AYH-179</t>
  </si>
  <si>
    <t>Suresh Bora</t>
  </si>
  <si>
    <t>Dr. Priya Singh</t>
  </si>
  <si>
    <t>AYH-180</t>
  </si>
  <si>
    <t>AYH-181</t>
  </si>
  <si>
    <t>Rekha Patel</t>
  </si>
  <si>
    <t>AYH-182</t>
  </si>
  <si>
    <t>AYH-183</t>
  </si>
  <si>
    <t>Dr. Anita Das</t>
  </si>
  <si>
    <t>AYH-184</t>
  </si>
  <si>
    <t>Meena Joshi</t>
  </si>
  <si>
    <t>AYH-185</t>
  </si>
  <si>
    <t>Sunil Joshi</t>
  </si>
  <si>
    <t>AYH-186</t>
  </si>
  <si>
    <t>AYH-187</t>
  </si>
  <si>
    <t>AYH-188</t>
  </si>
  <si>
    <t>AYH-189</t>
  </si>
  <si>
    <t>AYH-190</t>
  </si>
  <si>
    <t>Rekha Das</t>
  </si>
  <si>
    <t>AYH-191</t>
  </si>
  <si>
    <t>AYH-192</t>
  </si>
  <si>
    <t>Divya Joshi</t>
  </si>
  <si>
    <t>AYH-193</t>
  </si>
  <si>
    <t>AYH-194</t>
  </si>
  <si>
    <t>AYH-195</t>
  </si>
  <si>
    <t>Ravi Nair</t>
  </si>
  <si>
    <t>AYH-196</t>
  </si>
  <si>
    <t>Sunil Nair</t>
  </si>
  <si>
    <t>AYH-197</t>
  </si>
  <si>
    <t>Pradeep Bora</t>
  </si>
  <si>
    <t>AYH-198</t>
  </si>
  <si>
    <t>AYH-199</t>
  </si>
  <si>
    <t>Sneha Joshi</t>
  </si>
  <si>
    <t>AYH-200</t>
  </si>
  <si>
    <t>Count of Record ID</t>
  </si>
  <si>
    <t>Average of Waiting Time (min)</t>
  </si>
  <si>
    <t>Average of User Rating (/5)</t>
  </si>
  <si>
    <t>Sum of Treatment Cost (₹)</t>
  </si>
  <si>
    <t>Grand Total</t>
  </si>
  <si>
    <t>Count of Follow-Up Required</t>
  </si>
  <si>
    <t>Sum of User Rating (/5)</t>
  </si>
  <si>
    <t xml:space="preserve"> Record ID</t>
  </si>
  <si>
    <t xml:space="preserve"> Treatment Cost (₹)</t>
  </si>
  <si>
    <t>Count of Appointment Type</t>
  </si>
  <si>
    <t xml:space="preserve"> User Rating (/5)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</si>
</sst>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6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2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7C47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14" fontId="2" fillId="0" borderId="0" xfId="0" applyNumberFormat="1" applyFont="1" applyFill="1" applyBorder="1" applyAlignment="1"/>
    <xf numFmtId="0" fontId="0" fillId="0" borderId="0" xfId="0" pivotButton="1"/>
    <xf numFmtId="0" fontId="0" fillId="0" borderId="0" xfId="0" applyNumberFormat="1"/>
    <xf numFmtId="0" fontId="2" fillId="0" borderId="0" xfId="0" applyFont="1" applyFill="1" applyBorder="1" applyAlignment="1"/>
    <xf numFmtId="1" fontId="0" fillId="0" borderId="0" xfId="0" applyNumberFormat="1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0" fontId="4" fillId="0" borderId="0" xfId="0" applyNumberFormat="1" applyFont="1" applyAlignment="1">
      <alignment wrapText="1"/>
    </xf>
    <xf numFmtId="2" fontId="4" fillId="0" borderId="0" xfId="0" applyNumberFormat="1" applyFont="1"/>
    <xf numFmtId="0" fontId="0" fillId="2" borderId="0" xfId="0" applyFill="1"/>
    <xf numFmtId="0" fontId="5" fillId="2" borderId="0" xfId="0" applyFont="1" applyFill="1"/>
  </cellXfs>
  <cellStyles count="1">
    <cellStyle name="Normal" xfId="0" builtinId="0"/>
  </cellStyles>
  <dxfs count="27"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numFmt numFmtId="1" formatCode="0"/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  <dxf>
      <fill>
        <patternFill patternType="solid">
          <fgColor indexed="64"/>
          <bgColor rgb="FFA7C470"/>
        </patternFill>
      </fill>
    </dxf>
  </dxfs>
  <tableStyles count="0" defaultTableStyle="TableStyleMedium2" defaultPivotStyle="PivotStyleMedium9"/>
  <colors>
    <mruColors>
      <color rgb="FFA7C470"/>
      <color rgb="FF769936"/>
      <color rgb="FF6C8C31"/>
      <color rgb="FF8BBA34"/>
      <color rgb="FF85AD3B"/>
      <color rgb="FF659111"/>
      <color rgb="FF99C449"/>
      <color rgb="FFA6BA80"/>
      <color rgb="FF1AC4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10.xlsx]Backend Data!PivotTable4</c:name>
    <c:fmtId val="6"/>
  </c:pivotSource>
  <c:chart>
    <c:autoTitleDeleted val="1"/>
    <c:pivotFmts>
      <c:pivotFmt>
        <c:idx val="0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'Backend Data'!$C$6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69936"/>
            </a:solidFill>
            <a:ln>
              <a:noFill/>
            </a:ln>
            <a:effectLst/>
          </c:spPr>
          <c:invertIfNegative val="0"/>
          <c:cat>
            <c:strRef>
              <c:f>'Backend Data'!$B$7:$B$11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'Backend Data'!$C$7:$C$11</c:f>
              <c:numCache>
                <c:formatCode>General</c:formatCode>
                <c:ptCount val="4"/>
                <c:pt idx="0">
                  <c:v>27437</c:v>
                </c:pt>
                <c:pt idx="1">
                  <c:v>41490</c:v>
                </c:pt>
                <c:pt idx="2">
                  <c:v>32583</c:v>
                </c:pt>
                <c:pt idx="3">
                  <c:v>26014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6-4211-B42B-CF1401F29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110600"/>
        <c:axId val="128112648"/>
      </c:barChart>
      <c:catAx>
        <c:axId val="12811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12648"/>
        <c:crosses val="autoZero"/>
        <c:auto val="1"/>
        <c:lblAlgn val="ctr"/>
        <c:lblOffset val="100"/>
        <c:noMultiLvlLbl val="0"/>
      </c:catAx>
      <c:valAx>
        <c:axId val="12811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1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69936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769936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Cardiology</c:v>
              </c:pt>
              <c:pt idx="1">
                <c:v>Dermatology</c:v>
              </c:pt>
              <c:pt idx="2">
                <c:v>ENT</c:v>
              </c:pt>
              <c:pt idx="3">
                <c:v>General Medicine</c:v>
              </c:pt>
              <c:pt idx="4">
                <c:v>Gynecology</c:v>
              </c:pt>
              <c:pt idx="5">
                <c:v>Neurology</c:v>
              </c:pt>
              <c:pt idx="6">
                <c:v>Oncology</c:v>
              </c:pt>
              <c:pt idx="7">
                <c:v>Orthopedics</c:v>
              </c:pt>
            </c:strLit>
          </c:cat>
          <c:val>
            <c:numLit>
              <c:formatCode>General</c:formatCode>
              <c:ptCount val="8"/>
              <c:pt idx="0">
                <c:v>11.222222222222221</c:v>
              </c:pt>
              <c:pt idx="1">
                <c:v>13.454545454545455</c:v>
              </c:pt>
              <c:pt idx="2">
                <c:v>14.681818181818182</c:v>
              </c:pt>
              <c:pt idx="3">
                <c:v>13.44</c:v>
              </c:pt>
              <c:pt idx="4">
                <c:v>13.37037037037037</c:v>
              </c:pt>
              <c:pt idx="5">
                <c:v>16.04</c:v>
              </c:pt>
              <c:pt idx="6">
                <c:v>13.962962962962964</c:v>
              </c:pt>
              <c:pt idx="7">
                <c:v>24.48</c:v>
              </c:pt>
            </c:numLit>
          </c:val>
          <c:extLst>
            <c:ext xmlns:c16="http://schemas.microsoft.com/office/drawing/2014/chart" uri="{C3380CC4-5D6E-409C-BE32-E72D297353CC}">
              <c16:uniqueId val="{00000000-D90A-4CA5-B915-D7D6220A7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050952"/>
        <c:axId val="334850056"/>
      </c:barChart>
      <c:catAx>
        <c:axId val="252050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50056"/>
        <c:crosses val="autoZero"/>
        <c:auto val="1"/>
        <c:lblAlgn val="ctr"/>
        <c:lblOffset val="100"/>
        <c:noMultiLvlLbl val="0"/>
      </c:catAx>
      <c:valAx>
        <c:axId val="33485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5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10.xlsx]Backend Data!PivotTable1</c:name>
    <c:fmtId val="4"/>
  </c:pivotSource>
  <c:chart>
    <c:title>
      <c:overlay val="0"/>
      <c:spPr>
        <a:solidFill>
          <a:srgbClr val="FFFFFF"/>
        </a:solidFill>
        <a:ln w="12700">
          <a:solidFill>
            <a:srgbClr val="FFFFFF"/>
          </a:solidFill>
          <a:prstDash val="sysDot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59111"/>
          </a:solidFill>
          <a:ln w="28575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769936"/>
          </a:solidFill>
          <a:ln w="57150">
            <a:solidFill>
              <a:srgbClr val="A6BA80"/>
            </a:solidFill>
            <a:prstDash val="solid"/>
          </a:ln>
          <a:effectLst/>
        </c:spPr>
      </c:pivotFmt>
      <c:pivotFmt>
        <c:idx val="18"/>
        <c:spPr>
          <a:solidFill>
            <a:srgbClr val="DAF2D0"/>
          </a:solidFill>
          <a:ln w="28575">
            <a:solidFill>
              <a:srgbClr val="FFFFFF"/>
            </a:solidFill>
            <a:prstDash val="solid"/>
          </a:ln>
          <a:effectLst/>
        </c:spPr>
      </c:pivotFmt>
      <c:pivotFmt>
        <c:idx val="19"/>
        <c:spPr>
          <a:solidFill>
            <a:srgbClr val="A7C470"/>
          </a:solidFill>
          <a:ln w="38100">
            <a:solidFill>
              <a:srgbClr val="FFFFFF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'Backend Data'!$C$23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59111"/>
            </a:solidFill>
            <a:ln w="28575"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rgbClr val="769936"/>
              </a:solidFill>
              <a:ln w="57150">
                <a:solidFill>
                  <a:srgbClr val="A6BA8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BC-4674-BE49-B4D9FE0B82DE}"/>
              </c:ext>
            </c:extLst>
          </c:dPt>
          <c:dPt>
            <c:idx val="1"/>
            <c:bubble3D val="0"/>
            <c:spPr>
              <a:solidFill>
                <a:srgbClr val="DAF2D0"/>
              </a:solidFill>
              <a:ln w="28575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BC-4674-BE49-B4D9FE0B82DE}"/>
              </c:ext>
            </c:extLst>
          </c:dPt>
          <c:dPt>
            <c:idx val="2"/>
            <c:bubble3D val="0"/>
            <c:spPr>
              <a:solidFill>
                <a:srgbClr val="A7C470"/>
              </a:solidFill>
              <a:ln w="381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BC-4674-BE49-B4D9FE0B82DE}"/>
              </c:ext>
            </c:extLst>
          </c:dPt>
          <c:cat>
            <c:strRef>
              <c:f>'Backend Data'!$B$24:$B$27</c:f>
              <c:strCache>
                <c:ptCount val="3"/>
                <c:pt idx="0">
                  <c:v>Emergency</c:v>
                </c:pt>
                <c:pt idx="1">
                  <c:v>Regular</c:v>
                </c:pt>
                <c:pt idx="2">
                  <c:v>Teleconsultation</c:v>
                </c:pt>
              </c:strCache>
            </c:strRef>
          </c:cat>
          <c:val>
            <c:numRef>
              <c:f>'Backend Data'!$C$24:$C$27</c:f>
              <c:numCache>
                <c:formatCode>General</c:formatCode>
                <c:ptCount val="3"/>
                <c:pt idx="0">
                  <c:v>68</c:v>
                </c:pt>
                <c:pt idx="1">
                  <c:v>60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BC-4674-BE49-B4D9FE0B8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10.xlsx]Backend Data!PivotTable2</c:name>
    <c:fmtId val="4"/>
  </c:pivotSource>
  <c:chart>
    <c:autoTitleDeleted val="1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A6BA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DAF2D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'Backend Data'!$L$6:$L$7</c:f>
              <c:strCache>
                <c:ptCount val="1"/>
                <c:pt idx="0">
                  <c:v>Emergency</c:v>
                </c:pt>
              </c:strCache>
            </c:strRef>
          </c:tx>
          <c:spPr>
            <a:solidFill>
              <a:srgbClr val="769936"/>
            </a:solidFill>
            <a:ln>
              <a:noFill/>
            </a:ln>
            <a:effectLst/>
          </c:spPr>
          <c:invertIfNegative val="0"/>
          <c:cat>
            <c:strRef>
              <c:f>'Backend Data'!$K$8:$K$16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ENT</c:v>
                </c:pt>
                <c:pt idx="3">
                  <c:v>General Medicine</c:v>
                </c:pt>
                <c:pt idx="4">
                  <c:v>Gynecology</c:v>
                </c:pt>
                <c:pt idx="5">
                  <c:v>Neurology</c:v>
                </c:pt>
                <c:pt idx="6">
                  <c:v>Oncology</c:v>
                </c:pt>
                <c:pt idx="7">
                  <c:v>Orthopedics</c:v>
                </c:pt>
              </c:strCache>
            </c:strRef>
          </c:cat>
          <c:val>
            <c:numRef>
              <c:f>'Backend Data'!$L$8:$L$16</c:f>
              <c:numCache>
                <c:formatCode>General</c:formatCode>
                <c:ptCount val="8"/>
                <c:pt idx="0">
                  <c:v>6</c:v>
                </c:pt>
                <c:pt idx="1">
                  <c:v>9</c:v>
                </c:pt>
                <c:pt idx="2">
                  <c:v>8</c:v>
                </c:pt>
                <c:pt idx="3">
                  <c:v>11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6-4890-ACAB-B21600F5B716}"/>
            </c:ext>
          </c:extLst>
        </c:ser>
        <c:ser>
          <c:idx val="1"/>
          <c:order val="1"/>
          <c:tx>
            <c:strRef>
              <c:f>'Backend Data'!$M$6:$M$7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A6BA80"/>
            </a:solidFill>
            <a:ln>
              <a:noFill/>
            </a:ln>
            <a:effectLst/>
          </c:spPr>
          <c:invertIfNegative val="0"/>
          <c:cat>
            <c:strRef>
              <c:f>'Backend Data'!$K$8:$K$16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ENT</c:v>
                </c:pt>
                <c:pt idx="3">
                  <c:v>General Medicine</c:v>
                </c:pt>
                <c:pt idx="4">
                  <c:v>Gynecology</c:v>
                </c:pt>
                <c:pt idx="5">
                  <c:v>Neurology</c:v>
                </c:pt>
                <c:pt idx="6">
                  <c:v>Oncology</c:v>
                </c:pt>
                <c:pt idx="7">
                  <c:v>Orthopedics</c:v>
                </c:pt>
              </c:strCache>
            </c:strRef>
          </c:cat>
          <c:val>
            <c:numRef>
              <c:f>'Backend Data'!$M$8:$M$16</c:f>
              <c:numCache>
                <c:formatCode>General</c:formatCode>
                <c:ptCount val="8"/>
                <c:pt idx="0">
                  <c:v>10</c:v>
                </c:pt>
                <c:pt idx="1">
                  <c:v>6</c:v>
                </c:pt>
                <c:pt idx="2">
                  <c:v>9</c:v>
                </c:pt>
                <c:pt idx="3">
                  <c:v>3</c:v>
                </c:pt>
                <c:pt idx="4">
                  <c:v>9</c:v>
                </c:pt>
                <c:pt idx="5">
                  <c:v>8</c:v>
                </c:pt>
                <c:pt idx="6">
                  <c:v>12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26-4890-ACAB-B21600F5B716}"/>
            </c:ext>
          </c:extLst>
        </c:ser>
        <c:ser>
          <c:idx val="2"/>
          <c:order val="2"/>
          <c:tx>
            <c:strRef>
              <c:f>'Backend Data'!$N$6:$N$7</c:f>
              <c:strCache>
                <c:ptCount val="1"/>
                <c:pt idx="0">
                  <c:v>Teleconsultation</c:v>
                </c:pt>
              </c:strCache>
            </c:strRef>
          </c:tx>
          <c:spPr>
            <a:solidFill>
              <a:srgbClr val="DAF2D0"/>
            </a:solidFill>
            <a:ln>
              <a:noFill/>
            </a:ln>
            <a:effectLst/>
          </c:spPr>
          <c:invertIfNegative val="0"/>
          <c:cat>
            <c:strRef>
              <c:f>'Backend Data'!$K$8:$K$16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ENT</c:v>
                </c:pt>
                <c:pt idx="3">
                  <c:v>General Medicine</c:v>
                </c:pt>
                <c:pt idx="4">
                  <c:v>Gynecology</c:v>
                </c:pt>
                <c:pt idx="5">
                  <c:v>Neurology</c:v>
                </c:pt>
                <c:pt idx="6">
                  <c:v>Oncology</c:v>
                </c:pt>
                <c:pt idx="7">
                  <c:v>Orthopedics</c:v>
                </c:pt>
              </c:strCache>
            </c:strRef>
          </c:cat>
          <c:val>
            <c:numRef>
              <c:f>'Backend Data'!$N$8:$N$16</c:f>
              <c:numCache>
                <c:formatCode>General</c:formatCode>
                <c:ptCount val="8"/>
                <c:pt idx="0">
                  <c:v>11</c:v>
                </c:pt>
                <c:pt idx="1">
                  <c:v>7</c:v>
                </c:pt>
                <c:pt idx="2">
                  <c:v>5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6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26-4890-ACAB-B21600F5B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8193800"/>
        <c:axId val="1220162567"/>
      </c:barChart>
      <c:catAx>
        <c:axId val="1788193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162567"/>
        <c:crosses val="autoZero"/>
        <c:auto val="1"/>
        <c:lblAlgn val="ctr"/>
        <c:lblOffset val="100"/>
        <c:noMultiLvlLbl val="0"/>
      </c:catAx>
      <c:valAx>
        <c:axId val="1220162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193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10.xlsx]Backend Data!PivotTable5</c:name>
    <c:fmtId val="4"/>
  </c:pivotSource>
  <c:chart>
    <c:autoTitleDeleted val="1"/>
    <c:pivotFmts>
      <c:pivotFmt>
        <c:idx val="0"/>
        <c:spPr>
          <a:solidFill>
            <a:srgbClr val="DAF2D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6BA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69936"/>
          </a:solidFill>
          <a:ln>
            <a:noFill/>
          </a:ln>
          <a:effectLst/>
        </c:spPr>
      </c:pivotFmt>
      <c:pivotFmt>
        <c:idx val="4"/>
        <c:spPr>
          <a:solidFill>
            <a:srgbClr val="DAF2D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A6BA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DAF2D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6BA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DAF2D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A6BA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DAF2D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A6BA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'Backend Data'!$G$22:$G$23</c:f>
              <c:strCache>
                <c:ptCount val="1"/>
                <c:pt idx="0">
                  <c:v>Basic</c:v>
                </c:pt>
              </c:strCache>
            </c:strRef>
          </c:tx>
          <c:spPr>
            <a:solidFill>
              <a:srgbClr val="DAF2D0"/>
            </a:solidFill>
            <a:ln>
              <a:noFill/>
            </a:ln>
            <a:effectLst/>
          </c:spPr>
          <c:invertIfNegative val="0"/>
          <c:cat>
            <c:strRef>
              <c:f>'Backend Data'!$F$24:$F$28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'Backend Data'!$G$24:$G$28</c:f>
              <c:numCache>
                <c:formatCode>General</c:formatCode>
                <c:ptCount val="4"/>
                <c:pt idx="0">
                  <c:v>9067</c:v>
                </c:pt>
                <c:pt idx="1">
                  <c:v>10331</c:v>
                </c:pt>
                <c:pt idx="2">
                  <c:v>6009</c:v>
                </c:pt>
                <c:pt idx="3">
                  <c:v>9839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A-48CE-85DA-828145E5D290}"/>
            </c:ext>
          </c:extLst>
        </c:ser>
        <c:ser>
          <c:idx val="1"/>
          <c:order val="1"/>
          <c:tx>
            <c:strRef>
              <c:f>'Backend Data'!$H$22:$H$23</c:f>
              <c:strCache>
                <c:ptCount val="1"/>
                <c:pt idx="0">
                  <c:v>Free</c:v>
                </c:pt>
              </c:strCache>
            </c:strRef>
          </c:tx>
          <c:spPr>
            <a:solidFill>
              <a:srgbClr val="A6BA80"/>
            </a:solidFill>
            <a:ln>
              <a:noFill/>
            </a:ln>
            <a:effectLst/>
          </c:spPr>
          <c:invertIfNegative val="0"/>
          <c:cat>
            <c:strRef>
              <c:f>'Backend Data'!$F$24:$F$28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'Backend Data'!$H$24:$H$28</c:f>
              <c:numCache>
                <c:formatCode>General</c:formatCode>
                <c:ptCount val="4"/>
                <c:pt idx="0">
                  <c:v>8979</c:v>
                </c:pt>
                <c:pt idx="1">
                  <c:v>14266</c:v>
                </c:pt>
                <c:pt idx="2">
                  <c:v>11819</c:v>
                </c:pt>
                <c:pt idx="3">
                  <c:v>6692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AA-48CE-85DA-828145E5D290}"/>
            </c:ext>
          </c:extLst>
        </c:ser>
        <c:ser>
          <c:idx val="2"/>
          <c:order val="2"/>
          <c:tx>
            <c:strRef>
              <c:f>'Backend Data'!$I$22:$I$23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769936"/>
            </a:solidFill>
            <a:ln>
              <a:noFill/>
            </a:ln>
            <a:effectLst/>
          </c:spPr>
          <c:invertIfNegative val="0"/>
          <c:cat>
            <c:strRef>
              <c:f>'Backend Data'!$F$24:$F$28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'Backend Data'!$I$24:$I$28</c:f>
              <c:numCache>
                <c:formatCode>General</c:formatCode>
                <c:ptCount val="4"/>
                <c:pt idx="0">
                  <c:v>9391</c:v>
                </c:pt>
                <c:pt idx="1">
                  <c:v>16893</c:v>
                </c:pt>
                <c:pt idx="2">
                  <c:v>14755</c:v>
                </c:pt>
                <c:pt idx="3">
                  <c:v>9483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AA-48CE-85DA-828145E5D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8889096"/>
        <c:axId val="1957799432"/>
      </c:barChart>
      <c:catAx>
        <c:axId val="1748889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799432"/>
        <c:crosses val="autoZero"/>
        <c:auto val="1"/>
        <c:lblAlgn val="ctr"/>
        <c:lblOffset val="100"/>
        <c:noMultiLvlLbl val="0"/>
      </c:catAx>
      <c:valAx>
        <c:axId val="1957799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889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10.xlsx]Backend Data!PivotTable6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76993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69936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'Backend Data'!$O$23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6993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69936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'Backend Data'!$N$24:$N$36</c:f>
              <c:strCache>
                <c:ptCount val="12"/>
                <c:pt idx="0">
                  <c:v>AIIMS Patna</c:v>
                </c:pt>
                <c:pt idx="1">
                  <c:v>AMRI Hospitals</c:v>
                </c:pt>
                <c:pt idx="2">
                  <c:v>Apollo Hospitals</c:v>
                </c:pt>
                <c:pt idx="3">
                  <c:v>Apollo Kolkata</c:v>
                </c:pt>
                <c:pt idx="4">
                  <c:v>Fortis Health</c:v>
                </c:pt>
                <c:pt idx="5">
                  <c:v>Hiranandani Hospital</c:v>
                </c:pt>
                <c:pt idx="6">
                  <c:v>Kauvery Hospital</c:v>
                </c:pt>
                <c:pt idx="7">
                  <c:v>Max Super Specialty</c:v>
                </c:pt>
                <c:pt idx="8">
                  <c:v>Medanta Care</c:v>
                </c:pt>
                <c:pt idx="9">
                  <c:v>PSG Hospitals</c:v>
                </c:pt>
                <c:pt idx="10">
                  <c:v>Ruby Hall Clinic</c:v>
                </c:pt>
                <c:pt idx="11">
                  <c:v>Sterling Hospital</c:v>
                </c:pt>
              </c:strCache>
            </c:strRef>
          </c:cat>
          <c:val>
            <c:numRef>
              <c:f>'Backend Data'!$O$24:$O$36</c:f>
              <c:numCache>
                <c:formatCode>0</c:formatCode>
                <c:ptCount val="12"/>
                <c:pt idx="0">
                  <c:v>64.740000000000009</c:v>
                </c:pt>
                <c:pt idx="1">
                  <c:v>46.89</c:v>
                </c:pt>
                <c:pt idx="2">
                  <c:v>67.949999999999989</c:v>
                </c:pt>
                <c:pt idx="3">
                  <c:v>50.08</c:v>
                </c:pt>
                <c:pt idx="4">
                  <c:v>58.059999999999988</c:v>
                </c:pt>
                <c:pt idx="5">
                  <c:v>56.649999999999984</c:v>
                </c:pt>
                <c:pt idx="6">
                  <c:v>59.35</c:v>
                </c:pt>
                <c:pt idx="7">
                  <c:v>63.55</c:v>
                </c:pt>
                <c:pt idx="8">
                  <c:v>84.949999999999989</c:v>
                </c:pt>
                <c:pt idx="9">
                  <c:v>53.449999999999996</c:v>
                </c:pt>
                <c:pt idx="10">
                  <c:v>52.480000000000004</c:v>
                </c:pt>
                <c:pt idx="11">
                  <c:v>57.109999999999992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1-4FAD-BCB9-999A2FB41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162695"/>
        <c:axId val="1210459655"/>
      </c:lineChart>
      <c:catAx>
        <c:axId val="1210162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459655"/>
        <c:crosses val="autoZero"/>
        <c:auto val="1"/>
        <c:lblAlgn val="ctr"/>
        <c:lblOffset val="100"/>
        <c:noMultiLvlLbl val="0"/>
      </c:catAx>
      <c:valAx>
        <c:axId val="1210459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162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10.xlsx]Backend Data!PivotTable3</c:name>
    <c:fmtId val="4"/>
  </c:pivotSource>
  <c:chart>
    <c:autoTitleDeleted val="1"/>
    <c:pivotFmts>
      <c:pivotFmt>
        <c:idx val="0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6993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'Backend Data'!$G$5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69936"/>
            </a:solidFill>
            <a:ln>
              <a:noFill/>
            </a:ln>
            <a:effectLst/>
          </c:spPr>
          <c:invertIfNegative val="0"/>
          <c:cat>
            <c:strRef>
              <c:f>'Backend Data'!$F$6:$F$14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ENT</c:v>
                </c:pt>
                <c:pt idx="3">
                  <c:v>General Medicine</c:v>
                </c:pt>
                <c:pt idx="4">
                  <c:v>Gynecology</c:v>
                </c:pt>
                <c:pt idx="5">
                  <c:v>Neurology</c:v>
                </c:pt>
                <c:pt idx="6">
                  <c:v>Oncology</c:v>
                </c:pt>
                <c:pt idx="7">
                  <c:v>Orthopedics</c:v>
                </c:pt>
              </c:strCache>
            </c:strRef>
          </c:cat>
          <c:val>
            <c:numRef>
              <c:f>'Backend Data'!$G$6:$G$14</c:f>
              <c:numCache>
                <c:formatCode>General</c:formatCode>
                <c:ptCount val="8"/>
                <c:pt idx="0">
                  <c:v>97.300000000000011</c:v>
                </c:pt>
                <c:pt idx="1">
                  <c:v>75.139999999999986</c:v>
                </c:pt>
                <c:pt idx="2">
                  <c:v>73.499999999999986</c:v>
                </c:pt>
                <c:pt idx="3">
                  <c:v>82.07</c:v>
                </c:pt>
                <c:pt idx="4">
                  <c:v>102.52000000000001</c:v>
                </c:pt>
                <c:pt idx="5">
                  <c:v>90.339999999999989</c:v>
                </c:pt>
                <c:pt idx="6">
                  <c:v>98.800000000000011</c:v>
                </c:pt>
                <c:pt idx="7">
                  <c:v>95.59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8-4EB3-A884-1B2716DEE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4159111"/>
        <c:axId val="1914161159"/>
      </c:barChart>
      <c:catAx>
        <c:axId val="1914159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161159"/>
        <c:crosses val="autoZero"/>
        <c:auto val="1"/>
        <c:lblAlgn val="ctr"/>
        <c:lblOffset val="100"/>
        <c:noMultiLvlLbl val="0"/>
      </c:catAx>
      <c:valAx>
        <c:axId val="1914161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159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10.xlsx]Backend Data!PivotTable8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6BA80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6BA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6BA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6BA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6BA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'Backend Data'!$T$6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6BA80"/>
            </a:solidFill>
            <a:ln>
              <a:noFill/>
            </a:ln>
            <a:effectLst/>
          </c:spPr>
          <c:invertIfNegative val="0"/>
          <c:cat>
            <c:strRef>
              <c:f>'Backend Data'!$S$7:$S$81</c:f>
              <c:strCache>
                <c:ptCount val="74"/>
                <c:pt idx="0">
                  <c:v>Dr. Amit Das</c:v>
                </c:pt>
                <c:pt idx="1">
                  <c:v>Dr. Amit Desai</c:v>
                </c:pt>
                <c:pt idx="2">
                  <c:v>Dr. Amit Joshi</c:v>
                </c:pt>
                <c:pt idx="3">
                  <c:v>Dr. Amit Mehta</c:v>
                </c:pt>
                <c:pt idx="4">
                  <c:v>Dr. Amit Mishra</c:v>
                </c:pt>
                <c:pt idx="5">
                  <c:v>Dr. Amit Roy</c:v>
                </c:pt>
                <c:pt idx="6">
                  <c:v>Dr. Amit Singh</c:v>
                </c:pt>
                <c:pt idx="7">
                  <c:v>Dr. Amit Verma</c:v>
                </c:pt>
                <c:pt idx="8">
                  <c:v>Dr. Anita Das</c:v>
                </c:pt>
                <c:pt idx="9">
                  <c:v>Dr. Anita Desai</c:v>
                </c:pt>
                <c:pt idx="10">
                  <c:v>Dr. Anita Joshi</c:v>
                </c:pt>
                <c:pt idx="11">
                  <c:v>Dr. Anita Mehta</c:v>
                </c:pt>
                <c:pt idx="12">
                  <c:v>Dr. Anita Mishra</c:v>
                </c:pt>
                <c:pt idx="13">
                  <c:v>Dr. Anita Roy</c:v>
                </c:pt>
                <c:pt idx="14">
                  <c:v>Dr. Anita Singh</c:v>
                </c:pt>
                <c:pt idx="15">
                  <c:v>Dr. Kunal Das</c:v>
                </c:pt>
                <c:pt idx="16">
                  <c:v>Dr. Kunal Desai</c:v>
                </c:pt>
                <c:pt idx="17">
                  <c:v>Dr. Kunal Joshi</c:v>
                </c:pt>
                <c:pt idx="18">
                  <c:v>Dr. Kunal Mehta</c:v>
                </c:pt>
                <c:pt idx="19">
                  <c:v>Dr. Kunal Mishra</c:v>
                </c:pt>
                <c:pt idx="20">
                  <c:v>Dr. Kunal Singh</c:v>
                </c:pt>
                <c:pt idx="21">
                  <c:v>Dr. Kunal Verma</c:v>
                </c:pt>
                <c:pt idx="22">
                  <c:v>Dr. Meera Das</c:v>
                </c:pt>
                <c:pt idx="23">
                  <c:v>Dr. Meera Desai</c:v>
                </c:pt>
                <c:pt idx="24">
                  <c:v>Dr. Meera Joshi</c:v>
                </c:pt>
                <c:pt idx="25">
                  <c:v>Dr. Meera Mehta</c:v>
                </c:pt>
                <c:pt idx="26">
                  <c:v>Dr. Meera Mishra</c:v>
                </c:pt>
                <c:pt idx="27">
                  <c:v>Dr. Meera Roy</c:v>
                </c:pt>
                <c:pt idx="28">
                  <c:v>Dr. Meera Singh</c:v>
                </c:pt>
                <c:pt idx="29">
                  <c:v>Dr. Meera Verma</c:v>
                </c:pt>
                <c:pt idx="30">
                  <c:v>Dr. Nikhil Das</c:v>
                </c:pt>
                <c:pt idx="31">
                  <c:v>Dr. Nikhil Desai</c:v>
                </c:pt>
                <c:pt idx="32">
                  <c:v>Dr. Nikhil Joshi</c:v>
                </c:pt>
                <c:pt idx="33">
                  <c:v>Dr. Nikhil Mehta</c:v>
                </c:pt>
                <c:pt idx="34">
                  <c:v>Dr. Nikhil Mishra</c:v>
                </c:pt>
                <c:pt idx="35">
                  <c:v>Dr. Nikhil Roy</c:v>
                </c:pt>
                <c:pt idx="36">
                  <c:v>Dr. Nikhil Singh</c:v>
                </c:pt>
                <c:pt idx="37">
                  <c:v>Dr. Nikhil Verma</c:v>
                </c:pt>
                <c:pt idx="38">
                  <c:v>Dr. Priya Das</c:v>
                </c:pt>
                <c:pt idx="39">
                  <c:v>Dr. Priya Desai</c:v>
                </c:pt>
                <c:pt idx="40">
                  <c:v>Dr. Priya Joshi</c:v>
                </c:pt>
                <c:pt idx="41">
                  <c:v>Dr. Priya Mehta</c:v>
                </c:pt>
                <c:pt idx="42">
                  <c:v>Dr. Priya Mishra</c:v>
                </c:pt>
                <c:pt idx="43">
                  <c:v>Dr. Priya Roy</c:v>
                </c:pt>
                <c:pt idx="44">
                  <c:v>Dr. Priya Singh</c:v>
                </c:pt>
                <c:pt idx="45">
                  <c:v>Dr. Priya Verma</c:v>
                </c:pt>
                <c:pt idx="46">
                  <c:v>Dr. Rahul Das</c:v>
                </c:pt>
                <c:pt idx="47">
                  <c:v>Dr. Rahul Desai</c:v>
                </c:pt>
                <c:pt idx="48">
                  <c:v>Dr. Rahul Joshi</c:v>
                </c:pt>
                <c:pt idx="49">
                  <c:v>Dr. Rahul Mehta</c:v>
                </c:pt>
                <c:pt idx="50">
                  <c:v>Dr. Rahul Mishra</c:v>
                </c:pt>
                <c:pt idx="51">
                  <c:v>Dr. Rahul Roy</c:v>
                </c:pt>
                <c:pt idx="52">
                  <c:v>Dr. Rahul Singh</c:v>
                </c:pt>
                <c:pt idx="53">
                  <c:v>Dr. Rahul Verma</c:v>
                </c:pt>
                <c:pt idx="54">
                  <c:v>Dr. Rajesh Das</c:v>
                </c:pt>
                <c:pt idx="55">
                  <c:v>Dr. Rajesh Desai</c:v>
                </c:pt>
                <c:pt idx="56">
                  <c:v>Dr. Rajesh Mehta</c:v>
                </c:pt>
                <c:pt idx="57">
                  <c:v>Dr. Rajesh Mishra</c:v>
                </c:pt>
                <c:pt idx="58">
                  <c:v>Dr. Rajesh Roy</c:v>
                </c:pt>
                <c:pt idx="59">
                  <c:v>Dr. Rajesh Singh</c:v>
                </c:pt>
                <c:pt idx="60">
                  <c:v>Dr. S. Kumar Das</c:v>
                </c:pt>
                <c:pt idx="61">
                  <c:v>Dr. S. Kumar Desai</c:v>
                </c:pt>
                <c:pt idx="62">
                  <c:v>Dr. S. Kumar Joshi</c:v>
                </c:pt>
                <c:pt idx="63">
                  <c:v>Dr. S. Kumar Mehta</c:v>
                </c:pt>
                <c:pt idx="64">
                  <c:v>Dr. S. Kumar Mishra</c:v>
                </c:pt>
                <c:pt idx="65">
                  <c:v>Dr. S. Kumar Roy</c:v>
                </c:pt>
                <c:pt idx="66">
                  <c:v>Dr. S. Kumar Verma</c:v>
                </c:pt>
                <c:pt idx="67">
                  <c:v>Dr. S. Reddy Das</c:v>
                </c:pt>
                <c:pt idx="68">
                  <c:v>Dr. S. Reddy Desai</c:v>
                </c:pt>
                <c:pt idx="69">
                  <c:v>Dr. S. Reddy Joshi</c:v>
                </c:pt>
                <c:pt idx="70">
                  <c:v>Dr. S. Reddy Mehta</c:v>
                </c:pt>
                <c:pt idx="71">
                  <c:v>Dr. S. Reddy Roy</c:v>
                </c:pt>
                <c:pt idx="72">
                  <c:v>Dr. S. Reddy Singh</c:v>
                </c:pt>
                <c:pt idx="73">
                  <c:v>Dr. S. Reddy Verma</c:v>
                </c:pt>
              </c:strCache>
            </c:strRef>
          </c:cat>
          <c:val>
            <c:numRef>
              <c:f>'Backend Data'!$T$7:$T$81</c:f>
              <c:numCache>
                <c:formatCode>General</c:formatCode>
                <c:ptCount val="74"/>
                <c:pt idx="0">
                  <c:v>3.31</c:v>
                </c:pt>
                <c:pt idx="1">
                  <c:v>3.55</c:v>
                </c:pt>
                <c:pt idx="2">
                  <c:v>2.73</c:v>
                </c:pt>
                <c:pt idx="3">
                  <c:v>3.7099999999999995</c:v>
                </c:pt>
                <c:pt idx="4">
                  <c:v>2.915</c:v>
                </c:pt>
                <c:pt idx="5">
                  <c:v>3.7649999999999997</c:v>
                </c:pt>
                <c:pt idx="6">
                  <c:v>3.8666666666666671</c:v>
                </c:pt>
                <c:pt idx="7">
                  <c:v>3.3650000000000002</c:v>
                </c:pt>
                <c:pt idx="8">
                  <c:v>4.5999999999999996</c:v>
                </c:pt>
                <c:pt idx="9">
                  <c:v>2.73</c:v>
                </c:pt>
                <c:pt idx="10">
                  <c:v>2.73</c:v>
                </c:pt>
                <c:pt idx="11">
                  <c:v>3.6520000000000001</c:v>
                </c:pt>
                <c:pt idx="12">
                  <c:v>3.1</c:v>
                </c:pt>
                <c:pt idx="13">
                  <c:v>3.415</c:v>
                </c:pt>
                <c:pt idx="14">
                  <c:v>3.5100000000000002</c:v>
                </c:pt>
                <c:pt idx="15">
                  <c:v>3.41</c:v>
                </c:pt>
                <c:pt idx="16">
                  <c:v>3.8</c:v>
                </c:pt>
                <c:pt idx="17">
                  <c:v>3.4649999999999999</c:v>
                </c:pt>
                <c:pt idx="18">
                  <c:v>4.7</c:v>
                </c:pt>
                <c:pt idx="19">
                  <c:v>3.4433333333333329</c:v>
                </c:pt>
                <c:pt idx="20">
                  <c:v>3.081666666666667</c:v>
                </c:pt>
                <c:pt idx="21">
                  <c:v>3.0149999999999997</c:v>
                </c:pt>
                <c:pt idx="22">
                  <c:v>4.166666666666667</c:v>
                </c:pt>
                <c:pt idx="23">
                  <c:v>3.9575</c:v>
                </c:pt>
                <c:pt idx="24">
                  <c:v>3.3075000000000001</c:v>
                </c:pt>
                <c:pt idx="25">
                  <c:v>4.9000000000000004</c:v>
                </c:pt>
                <c:pt idx="26">
                  <c:v>3.415</c:v>
                </c:pt>
                <c:pt idx="27">
                  <c:v>3.2</c:v>
                </c:pt>
                <c:pt idx="28">
                  <c:v>3.45</c:v>
                </c:pt>
                <c:pt idx="29">
                  <c:v>4.05</c:v>
                </c:pt>
                <c:pt idx="30">
                  <c:v>4.4000000000000004</c:v>
                </c:pt>
                <c:pt idx="31">
                  <c:v>4</c:v>
                </c:pt>
                <c:pt idx="32">
                  <c:v>2.8533333333333335</c:v>
                </c:pt>
                <c:pt idx="33">
                  <c:v>4.7</c:v>
                </c:pt>
                <c:pt idx="34">
                  <c:v>4.1375000000000002</c:v>
                </c:pt>
                <c:pt idx="35">
                  <c:v>3.6433333333333331</c:v>
                </c:pt>
                <c:pt idx="36">
                  <c:v>2.73</c:v>
                </c:pt>
                <c:pt idx="37">
                  <c:v>3.1074999999999999</c:v>
                </c:pt>
                <c:pt idx="38">
                  <c:v>4.55</c:v>
                </c:pt>
                <c:pt idx="39">
                  <c:v>3.7824999999999998</c:v>
                </c:pt>
                <c:pt idx="40">
                  <c:v>3.4649999999999999</c:v>
                </c:pt>
                <c:pt idx="41">
                  <c:v>4</c:v>
                </c:pt>
                <c:pt idx="42">
                  <c:v>2.73</c:v>
                </c:pt>
                <c:pt idx="43">
                  <c:v>4</c:v>
                </c:pt>
                <c:pt idx="44">
                  <c:v>4.2</c:v>
                </c:pt>
                <c:pt idx="45">
                  <c:v>3.7766666666666668</c:v>
                </c:pt>
                <c:pt idx="46">
                  <c:v>3.7649999999999997</c:v>
                </c:pt>
                <c:pt idx="47">
                  <c:v>3.6825000000000001</c:v>
                </c:pt>
                <c:pt idx="48">
                  <c:v>3.61</c:v>
                </c:pt>
                <c:pt idx="49">
                  <c:v>3.3433333333333337</c:v>
                </c:pt>
                <c:pt idx="50">
                  <c:v>3.2100000000000004</c:v>
                </c:pt>
                <c:pt idx="51">
                  <c:v>3.7000000000000006</c:v>
                </c:pt>
                <c:pt idx="52">
                  <c:v>3.6999999999999997</c:v>
                </c:pt>
                <c:pt idx="53">
                  <c:v>3.3460000000000001</c:v>
                </c:pt>
                <c:pt idx="54">
                  <c:v>3.3533333333333335</c:v>
                </c:pt>
                <c:pt idx="55">
                  <c:v>3.5060000000000002</c:v>
                </c:pt>
                <c:pt idx="56">
                  <c:v>2.73</c:v>
                </c:pt>
                <c:pt idx="57">
                  <c:v>4.1259999999999994</c:v>
                </c:pt>
                <c:pt idx="58">
                  <c:v>3.7933333333333334</c:v>
                </c:pt>
                <c:pt idx="59">
                  <c:v>2.73</c:v>
                </c:pt>
                <c:pt idx="60">
                  <c:v>3.3149999999999999</c:v>
                </c:pt>
                <c:pt idx="61">
                  <c:v>4.8</c:v>
                </c:pt>
                <c:pt idx="62">
                  <c:v>4.4000000000000004</c:v>
                </c:pt>
                <c:pt idx="63">
                  <c:v>3.415</c:v>
                </c:pt>
                <c:pt idx="64">
                  <c:v>3.7000000000000006</c:v>
                </c:pt>
                <c:pt idx="65">
                  <c:v>4.1325000000000003</c:v>
                </c:pt>
                <c:pt idx="66">
                  <c:v>3.25</c:v>
                </c:pt>
                <c:pt idx="67">
                  <c:v>3.7149999999999999</c:v>
                </c:pt>
                <c:pt idx="68">
                  <c:v>2.73</c:v>
                </c:pt>
                <c:pt idx="69">
                  <c:v>3.5</c:v>
                </c:pt>
                <c:pt idx="70">
                  <c:v>3.3574999999999999</c:v>
                </c:pt>
                <c:pt idx="71">
                  <c:v>3.4</c:v>
                </c:pt>
                <c:pt idx="72">
                  <c:v>3.1150000000000002</c:v>
                </c:pt>
                <c:pt idx="73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E-4736-A7D0-3869CA204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1168775"/>
        <c:axId val="1451376647"/>
      </c:barChart>
      <c:catAx>
        <c:axId val="1131168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76647"/>
        <c:crosses val="autoZero"/>
        <c:auto val="1"/>
        <c:lblAlgn val="ctr"/>
        <c:lblOffset val="100"/>
        <c:noMultiLvlLbl val="0"/>
      </c:catAx>
      <c:valAx>
        <c:axId val="1451376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68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11</xdr:row>
      <xdr:rowOff>142875</xdr:rowOff>
    </xdr:from>
    <xdr:to>
      <xdr:col>9</xdr:col>
      <xdr:colOff>228600</xdr:colOff>
      <xdr:row>26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B7E7F3-BCDF-4AF7-959D-F565A2254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209550</xdr:colOff>
      <xdr:row>2</xdr:row>
      <xdr:rowOff>19050</xdr:rowOff>
    </xdr:from>
    <xdr:to>
      <xdr:col>16</xdr:col>
      <xdr:colOff>19050</xdr:colOff>
      <xdr:row>4</xdr:row>
      <xdr:rowOff>114300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3480B309-1E69-A940-4A5C-ED7971F64435}"/>
            </a:ext>
            <a:ext uri="{147F2762-F138-4A5C-976F-8EAC2B608ADB}">
              <a16:predDERef xmlns:a16="http://schemas.microsoft.com/office/drawing/2014/main" pred="{D1B7E7F3-BCDF-4AF7-959D-F565A22548B0}"/>
            </a:ext>
          </a:extLst>
        </xdr:cNvPr>
        <xdr:cNvSpPr/>
      </xdr:nvSpPr>
      <xdr:spPr>
        <a:xfrm>
          <a:off x="2647950" y="400050"/>
          <a:ext cx="7124700" cy="47625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Aayuphile Healthcare Operations Dashboard 2025</a:t>
          </a:r>
        </a:p>
      </xdr:txBody>
    </xdr:sp>
    <xdr:clientData/>
  </xdr:twoCellAnchor>
  <xdr:twoCellAnchor>
    <xdr:from>
      <xdr:col>3</xdr:col>
      <xdr:colOff>123825</xdr:colOff>
      <xdr:row>7</xdr:row>
      <xdr:rowOff>133350</xdr:rowOff>
    </xdr:from>
    <xdr:to>
      <xdr:col>8</xdr:col>
      <xdr:colOff>47625</xdr:colOff>
      <xdr:row>10</xdr:row>
      <xdr:rowOff>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43263661-2207-E6D9-93D2-A806AE050DBD}"/>
            </a:ext>
            <a:ext uri="{147F2762-F138-4A5C-976F-8EAC2B608ADB}">
              <a16:predDERef xmlns:a16="http://schemas.microsoft.com/office/drawing/2014/main" pred="{3480B309-1E69-A940-4A5C-ED7971F64435}"/>
            </a:ext>
          </a:extLst>
        </xdr:cNvPr>
        <xdr:cNvSpPr/>
      </xdr:nvSpPr>
      <xdr:spPr>
        <a:xfrm>
          <a:off x="1952625" y="1466850"/>
          <a:ext cx="2971800" cy="43815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    Revenue</a:t>
          </a:r>
        </a:p>
      </xdr:txBody>
    </xdr:sp>
    <xdr:clientData/>
  </xdr:twoCellAnchor>
  <xdr:twoCellAnchor>
    <xdr:from>
      <xdr:col>12</xdr:col>
      <xdr:colOff>161925</xdr:colOff>
      <xdr:row>8</xdr:row>
      <xdr:rowOff>19050</xdr:rowOff>
    </xdr:from>
    <xdr:to>
      <xdr:col>17</xdr:col>
      <xdr:colOff>600075</xdr:colOff>
      <xdr:row>10</xdr:row>
      <xdr:rowOff>76200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90325A3F-72EC-433A-BE42-615741028615}"/>
            </a:ext>
            <a:ext uri="{147F2762-F138-4A5C-976F-8EAC2B608ADB}">
              <a16:predDERef xmlns:a16="http://schemas.microsoft.com/office/drawing/2014/main" pred="{43263661-2207-E6D9-93D2-A806AE050DBD}"/>
            </a:ext>
          </a:extLst>
        </xdr:cNvPr>
        <xdr:cNvSpPr/>
      </xdr:nvSpPr>
      <xdr:spPr>
        <a:xfrm>
          <a:off x="7477125" y="1543050"/>
          <a:ext cx="3486150" cy="43815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Average Wait Time</a:t>
          </a:r>
        </a:p>
      </xdr:txBody>
    </xdr:sp>
    <xdr:clientData/>
  </xdr:twoCellAnchor>
  <xdr:twoCellAnchor>
    <xdr:from>
      <xdr:col>11</xdr:col>
      <xdr:colOff>0</xdr:colOff>
      <xdr:row>11</xdr:row>
      <xdr:rowOff>133350</xdr:rowOff>
    </xdr:from>
    <xdr:to>
      <xdr:col>18</xdr:col>
      <xdr:colOff>304800</xdr:colOff>
      <xdr:row>26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5F04EC-29E0-4A8B-93DF-94150000D631}"/>
            </a:ext>
            <a:ext uri="{147F2762-F138-4A5C-976F-8EAC2B608ADB}">
              <a16:predDERef xmlns:a16="http://schemas.microsoft.com/office/drawing/2014/main" pred="{90325A3F-72EC-433A-BE42-615741028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266700</xdr:colOff>
      <xdr:row>28</xdr:row>
      <xdr:rowOff>66675</xdr:rowOff>
    </xdr:from>
    <xdr:to>
      <xdr:col>8</xdr:col>
      <xdr:colOff>333375</xdr:colOff>
      <xdr:row>30</xdr:row>
      <xdr:rowOff>123825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CF38A7CF-2E02-4318-B736-5068BEF0E1AD}"/>
            </a:ext>
            <a:ext uri="{147F2762-F138-4A5C-976F-8EAC2B608ADB}">
              <a16:predDERef xmlns:a16="http://schemas.microsoft.com/office/drawing/2014/main" pred="{205F04EC-29E0-4A8B-93DF-94150000D631}"/>
            </a:ext>
          </a:extLst>
        </xdr:cNvPr>
        <xdr:cNvSpPr/>
      </xdr:nvSpPr>
      <xdr:spPr>
        <a:xfrm>
          <a:off x="1485900" y="5400675"/>
          <a:ext cx="3724275" cy="43815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 Total  Appointments</a:t>
          </a:r>
        </a:p>
      </xdr:txBody>
    </xdr:sp>
    <xdr:clientData/>
  </xdr:twoCellAnchor>
  <xdr:twoCellAnchor>
    <xdr:from>
      <xdr:col>1</xdr:col>
      <xdr:colOff>361950</xdr:colOff>
      <xdr:row>32</xdr:row>
      <xdr:rowOff>28575</xdr:rowOff>
    </xdr:from>
    <xdr:to>
      <xdr:col>9</xdr:col>
      <xdr:colOff>57150</xdr:colOff>
      <xdr:row>47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B55D2F9-0514-43D3-BD3E-814778EE5361}"/>
            </a:ext>
            <a:ext uri="{147F2762-F138-4A5C-976F-8EAC2B608ADB}">
              <a16:predDERef xmlns:a16="http://schemas.microsoft.com/office/drawing/2014/main" pred="{CF38A7CF-2E02-4318-B736-5068BEF0E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304800</xdr:colOff>
      <xdr:row>28</xdr:row>
      <xdr:rowOff>95250</xdr:rowOff>
    </xdr:from>
    <xdr:to>
      <xdr:col>17</xdr:col>
      <xdr:colOff>371475</xdr:colOff>
      <xdr:row>30</xdr:row>
      <xdr:rowOff>152400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4E421155-DC78-4BAB-93AC-0E2C4A8403F3}"/>
            </a:ext>
            <a:ext uri="{147F2762-F138-4A5C-976F-8EAC2B608ADB}">
              <a16:predDERef xmlns:a16="http://schemas.microsoft.com/office/drawing/2014/main" pred="{AB55D2F9-0514-43D3-BD3E-814778EE5361}"/>
            </a:ext>
          </a:extLst>
        </xdr:cNvPr>
        <xdr:cNvSpPr/>
      </xdr:nvSpPr>
      <xdr:spPr>
        <a:xfrm>
          <a:off x="7010400" y="5429250"/>
          <a:ext cx="3724275" cy="43815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            Emergency</a:t>
          </a:r>
        </a:p>
      </xdr:txBody>
    </xdr:sp>
    <xdr:clientData/>
  </xdr:twoCellAnchor>
  <xdr:twoCellAnchor>
    <xdr:from>
      <xdr:col>10</xdr:col>
      <xdr:colOff>552450</xdr:colOff>
      <xdr:row>31</xdr:row>
      <xdr:rowOff>180975</xdr:rowOff>
    </xdr:from>
    <xdr:to>
      <xdr:col>18</xdr:col>
      <xdr:colOff>247650</xdr:colOff>
      <xdr:row>46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4D38D18-49D0-4139-9D12-88B3C9535B34}"/>
            </a:ext>
            <a:ext uri="{147F2762-F138-4A5C-976F-8EAC2B608ADB}">
              <a16:predDERef xmlns:a16="http://schemas.microsoft.com/office/drawing/2014/main" pred="{4E421155-DC78-4BAB-93AC-0E2C4A840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590550</xdr:colOff>
      <xdr:row>49</xdr:row>
      <xdr:rowOff>104775</xdr:rowOff>
    </xdr:from>
    <xdr:to>
      <xdr:col>8</xdr:col>
      <xdr:colOff>47625</xdr:colOff>
      <xdr:row>51</xdr:row>
      <xdr:rowOff>161925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DD198FB2-164F-4B08-BE60-8CDE90FC4F8C}"/>
            </a:ext>
            <a:ext uri="{147F2762-F138-4A5C-976F-8EAC2B608ADB}">
              <a16:predDERef xmlns:a16="http://schemas.microsoft.com/office/drawing/2014/main" pred="{94D38D18-49D0-4139-9D12-88B3C9535B34}"/>
            </a:ext>
          </a:extLst>
        </xdr:cNvPr>
        <xdr:cNvSpPr/>
      </xdr:nvSpPr>
      <xdr:spPr>
        <a:xfrm>
          <a:off x="1200150" y="9439275"/>
          <a:ext cx="3724275" cy="43815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     Hospital Rating</a:t>
          </a:r>
        </a:p>
      </xdr:txBody>
    </xdr:sp>
    <xdr:clientData/>
  </xdr:twoCellAnchor>
  <xdr:twoCellAnchor>
    <xdr:from>
      <xdr:col>10</xdr:col>
      <xdr:colOff>571500</xdr:colOff>
      <xdr:row>52</xdr:row>
      <xdr:rowOff>85725</xdr:rowOff>
    </xdr:from>
    <xdr:to>
      <xdr:col>18</xdr:col>
      <xdr:colOff>266700</xdr:colOff>
      <xdr:row>66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8474F80-9078-4546-AA3F-64680EC55196}"/>
            </a:ext>
            <a:ext uri="{147F2762-F138-4A5C-976F-8EAC2B608ADB}">
              <a16:predDERef xmlns:a16="http://schemas.microsoft.com/office/drawing/2014/main" pred="{DD198FB2-164F-4B08-BE60-8CDE90FC4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438150</xdr:colOff>
      <xdr:row>49</xdr:row>
      <xdr:rowOff>19050</xdr:rowOff>
    </xdr:from>
    <xdr:to>
      <xdr:col>17</xdr:col>
      <xdr:colOff>504825</xdr:colOff>
      <xdr:row>51</xdr:row>
      <xdr:rowOff>76200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601C4686-AC69-4636-9B93-9402D02D92EF}"/>
            </a:ext>
            <a:ext uri="{147F2762-F138-4A5C-976F-8EAC2B608ADB}">
              <a16:predDERef xmlns:a16="http://schemas.microsoft.com/office/drawing/2014/main" pred="{68474F80-9078-4546-AA3F-64680EC55196}"/>
            </a:ext>
          </a:extLst>
        </xdr:cNvPr>
        <xdr:cNvSpPr/>
      </xdr:nvSpPr>
      <xdr:spPr>
        <a:xfrm>
          <a:off x="7143750" y="9353550"/>
          <a:ext cx="3724275" cy="43815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   Subscription Plan</a:t>
          </a:r>
        </a:p>
      </xdr:txBody>
    </xdr:sp>
    <xdr:clientData/>
  </xdr:twoCellAnchor>
  <xdr:twoCellAnchor>
    <xdr:from>
      <xdr:col>1</xdr:col>
      <xdr:colOff>333375</xdr:colOff>
      <xdr:row>53</xdr:row>
      <xdr:rowOff>57150</xdr:rowOff>
    </xdr:from>
    <xdr:to>
      <xdr:col>9</xdr:col>
      <xdr:colOff>28575</xdr:colOff>
      <xdr:row>67</xdr:row>
      <xdr:rowOff>133350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14B5964-ECE5-48D9-A7F3-B414E0811D1A}"/>
            </a:ext>
            <a:ext uri="{147F2762-F138-4A5C-976F-8EAC2B608ADB}">
              <a16:predDERef xmlns:a16="http://schemas.microsoft.com/office/drawing/2014/main" pred="{601C4686-AC69-4636-9B93-9402D02D9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95250</xdr:colOff>
      <xdr:row>73</xdr:row>
      <xdr:rowOff>57150</xdr:rowOff>
    </xdr:from>
    <xdr:to>
      <xdr:col>9</xdr:col>
      <xdr:colOff>400050</xdr:colOff>
      <xdr:row>87</xdr:row>
      <xdr:rowOff>133350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213B9DE-B3BB-404E-858E-C37D38F2C452}"/>
            </a:ext>
            <a:ext uri="{147F2762-F138-4A5C-976F-8EAC2B608ADB}">
              <a16:predDERef xmlns:a16="http://schemas.microsoft.com/office/drawing/2014/main" pred="{414B5964-ECE5-48D9-A7F3-B414E0811D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552450</xdr:colOff>
      <xdr:row>70</xdr:row>
      <xdr:rowOff>19050</xdr:rowOff>
    </xdr:from>
    <xdr:to>
      <xdr:col>9</xdr:col>
      <xdr:colOff>9525</xdr:colOff>
      <xdr:row>72</xdr:row>
      <xdr:rowOff>76200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7610D4DE-9265-49F3-8A83-1A85A9DFA1C2}"/>
            </a:ext>
            <a:ext uri="{147F2762-F138-4A5C-976F-8EAC2B608ADB}">
              <a16:predDERef xmlns:a16="http://schemas.microsoft.com/office/drawing/2014/main" pred="{F213B9DE-B3BB-404E-858E-C37D38F2C452}"/>
            </a:ext>
          </a:extLst>
        </xdr:cNvPr>
        <xdr:cNvSpPr/>
      </xdr:nvSpPr>
      <xdr:spPr>
        <a:xfrm>
          <a:off x="1771650" y="13354050"/>
          <a:ext cx="3724275" cy="43815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Department Rating</a:t>
          </a:r>
        </a:p>
      </xdr:txBody>
    </xdr:sp>
    <xdr:clientData/>
  </xdr:twoCellAnchor>
  <xdr:twoCellAnchor>
    <xdr:from>
      <xdr:col>11</xdr:col>
      <xdr:colOff>114300</xdr:colOff>
      <xdr:row>72</xdr:row>
      <xdr:rowOff>104775</xdr:rowOff>
    </xdr:from>
    <xdr:to>
      <xdr:col>21</xdr:col>
      <xdr:colOff>581025</xdr:colOff>
      <xdr:row>107</xdr:row>
      <xdr:rowOff>57150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18AC244-2B4C-4B17-B416-9E0DC332DFBA}"/>
            </a:ext>
            <a:ext uri="{147F2762-F138-4A5C-976F-8EAC2B608ADB}">
              <a16:predDERef xmlns:a16="http://schemas.microsoft.com/office/drawing/2014/main" pred="{7610D4DE-9265-49F3-8A83-1A85A9DFA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295275</xdr:colOff>
      <xdr:row>69</xdr:row>
      <xdr:rowOff>9525</xdr:rowOff>
    </xdr:from>
    <xdr:to>
      <xdr:col>18</xdr:col>
      <xdr:colOff>361950</xdr:colOff>
      <xdr:row>71</xdr:row>
      <xdr:rowOff>66675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26931DE3-D86E-47F1-BC5A-546E7D649F43}"/>
            </a:ext>
            <a:ext uri="{147F2762-F138-4A5C-976F-8EAC2B608ADB}">
              <a16:predDERef xmlns:a16="http://schemas.microsoft.com/office/drawing/2014/main" pred="{F18AC244-2B4C-4B17-B416-9E0DC332DFBA}"/>
            </a:ext>
          </a:extLst>
        </xdr:cNvPr>
        <xdr:cNvSpPr/>
      </xdr:nvSpPr>
      <xdr:spPr>
        <a:xfrm>
          <a:off x="7610475" y="13154025"/>
          <a:ext cx="3724275" cy="43815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       Doctor Rating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114300</xdr:rowOff>
    </xdr:from>
    <xdr:to>
      <xdr:col>18</xdr:col>
      <xdr:colOff>95250</xdr:colOff>
      <xdr:row>2</xdr:row>
      <xdr:rowOff>161925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29C60D57-F2A2-0FA6-3C9E-E951C4B0FD80}"/>
            </a:ext>
          </a:extLst>
        </xdr:cNvPr>
        <xdr:cNvSpPr/>
      </xdr:nvSpPr>
      <xdr:spPr>
        <a:xfrm>
          <a:off x="3048000" y="114300"/>
          <a:ext cx="8972550" cy="428625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                    AAYUPHILE HEALTHCARE OPERATIONS KPIs(2025)</a:t>
          </a:r>
        </a:p>
      </xdr:txBody>
    </xdr:sp>
    <xdr:clientData/>
  </xdr:twoCellAnchor>
  <xdr:twoCellAnchor>
    <xdr:from>
      <xdr:col>2</xdr:col>
      <xdr:colOff>600075</xdr:colOff>
      <xdr:row>6</xdr:row>
      <xdr:rowOff>76200</xdr:rowOff>
    </xdr:from>
    <xdr:to>
      <xdr:col>7</xdr:col>
      <xdr:colOff>161925</xdr:colOff>
      <xdr:row>8</xdr:row>
      <xdr:rowOff>66675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95A7E9DF-F543-4CA6-E3D1-72F77CBDF88C}"/>
            </a:ext>
            <a:ext uri="{147F2762-F138-4A5C-976F-8EAC2B608ADB}">
              <a16:predDERef xmlns:a16="http://schemas.microsoft.com/office/drawing/2014/main" pred="{29C60D57-F2A2-0FA6-3C9E-E951C4B0FD80}"/>
            </a:ext>
          </a:extLst>
        </xdr:cNvPr>
        <xdr:cNvSpPr/>
      </xdr:nvSpPr>
      <xdr:spPr>
        <a:xfrm>
          <a:off x="1819275" y="1219200"/>
          <a:ext cx="3543300" cy="371475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              Revenue</a:t>
          </a:r>
        </a:p>
      </xdr:txBody>
    </xdr:sp>
    <xdr:clientData/>
  </xdr:twoCellAnchor>
  <xdr:twoCellAnchor>
    <xdr:from>
      <xdr:col>8</xdr:col>
      <xdr:colOff>1866900</xdr:colOff>
      <xdr:row>5</xdr:row>
      <xdr:rowOff>161925</xdr:rowOff>
    </xdr:from>
    <xdr:to>
      <xdr:col>12</xdr:col>
      <xdr:colOff>438150</xdr:colOff>
      <xdr:row>7</xdr:row>
      <xdr:rowOff>152400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22B44697-C09E-4043-91C6-C8E581F1E865}"/>
            </a:ext>
            <a:ext uri="{147F2762-F138-4A5C-976F-8EAC2B608ADB}">
              <a16:predDERef xmlns:a16="http://schemas.microsoft.com/office/drawing/2014/main" pred="{95A7E9DF-F543-4CA6-E3D1-72F77CBDF88C}"/>
            </a:ext>
          </a:extLst>
        </xdr:cNvPr>
        <xdr:cNvSpPr/>
      </xdr:nvSpPr>
      <xdr:spPr>
        <a:xfrm>
          <a:off x="7677150" y="1114425"/>
          <a:ext cx="2857500" cy="371475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Total Appointments</a:t>
          </a:r>
        </a:p>
      </xdr:txBody>
    </xdr:sp>
    <xdr:clientData/>
  </xdr:twoCellAnchor>
  <xdr:twoCellAnchor>
    <xdr:from>
      <xdr:col>14</xdr:col>
      <xdr:colOff>466725</xdr:colOff>
      <xdr:row>6</xdr:row>
      <xdr:rowOff>142875</xdr:rowOff>
    </xdr:from>
    <xdr:to>
      <xdr:col>19</xdr:col>
      <xdr:colOff>276225</xdr:colOff>
      <xdr:row>8</xdr:row>
      <xdr:rowOff>133350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7057275C-34A6-4678-8872-714EA52B2A0E}"/>
            </a:ext>
            <a:ext uri="{147F2762-F138-4A5C-976F-8EAC2B608ADB}">
              <a16:predDERef xmlns:a16="http://schemas.microsoft.com/office/drawing/2014/main" pred="{22B44697-C09E-4043-91C6-C8E581F1E865}"/>
            </a:ext>
          </a:extLst>
        </xdr:cNvPr>
        <xdr:cNvSpPr/>
      </xdr:nvSpPr>
      <xdr:spPr>
        <a:xfrm>
          <a:off x="11782425" y="1285875"/>
          <a:ext cx="3009900" cy="371475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Average Wait Time </a:t>
          </a:r>
        </a:p>
      </xdr:txBody>
    </xdr:sp>
    <xdr:clientData/>
  </xdr:twoCellAnchor>
  <xdr:twoCellAnchor>
    <xdr:from>
      <xdr:col>8</xdr:col>
      <xdr:colOff>19050</xdr:colOff>
      <xdr:row>12</xdr:row>
      <xdr:rowOff>161925</xdr:rowOff>
    </xdr:from>
    <xdr:to>
      <xdr:col>11</xdr:col>
      <xdr:colOff>123825</xdr:colOff>
      <xdr:row>14</xdr:row>
      <xdr:rowOff>152400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D6808BBE-F289-485E-9C23-1BED1B65FA08}"/>
            </a:ext>
            <a:ext uri="{147F2762-F138-4A5C-976F-8EAC2B608ADB}">
              <a16:predDERef xmlns:a16="http://schemas.microsoft.com/office/drawing/2014/main" pred="{7057275C-34A6-4678-8872-714EA52B2A0E}"/>
            </a:ext>
          </a:extLst>
        </xdr:cNvPr>
        <xdr:cNvSpPr/>
      </xdr:nvSpPr>
      <xdr:spPr>
        <a:xfrm>
          <a:off x="5829300" y="2695575"/>
          <a:ext cx="3762375" cy="371475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             Emergency</a:t>
          </a:r>
        </a:p>
      </xdr:txBody>
    </xdr:sp>
    <xdr:clientData/>
  </xdr:twoCellAnchor>
  <xdr:twoCellAnchor>
    <xdr:from>
      <xdr:col>12</xdr:col>
      <xdr:colOff>390525</xdr:colOff>
      <xdr:row>13</xdr:row>
      <xdr:rowOff>9525</xdr:rowOff>
    </xdr:from>
    <xdr:to>
      <xdr:col>18</xdr:col>
      <xdr:colOff>342900</xdr:colOff>
      <xdr:row>15</xdr:row>
      <xdr:rowOff>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433DC6DE-5BAB-4E6D-8DD1-077B0A3C52BE}"/>
            </a:ext>
            <a:ext uri="{147F2762-F138-4A5C-976F-8EAC2B608ADB}">
              <a16:predDERef xmlns:a16="http://schemas.microsoft.com/office/drawing/2014/main" pred="{D6808BBE-F289-485E-9C23-1BED1B65FA08}"/>
            </a:ext>
          </a:extLst>
        </xdr:cNvPr>
        <xdr:cNvSpPr/>
      </xdr:nvSpPr>
      <xdr:spPr>
        <a:xfrm>
          <a:off x="10487025" y="2733675"/>
          <a:ext cx="3762375" cy="371475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             Doctor Ratings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9525</xdr:rowOff>
    </xdr:from>
    <xdr:to>
      <xdr:col>4</xdr:col>
      <xdr:colOff>495300</xdr:colOff>
      <xdr:row>7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0F661058-2DB1-6A19-D499-195C7591BF17}"/>
                </a:ext>
                <a:ext uri="{147F2762-F138-4A5C-976F-8EAC2B608ADB}">
                  <a16:predDERef xmlns:a16="http://schemas.microsoft.com/office/drawing/2014/main" pred="{CBE27EBD-9232-3E12-C1B7-F3FC811F66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771525"/>
              <a:ext cx="4600575" cy="600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85725</xdr:colOff>
      <xdr:row>0</xdr:row>
      <xdr:rowOff>142875</xdr:rowOff>
    </xdr:from>
    <xdr:to>
      <xdr:col>6</xdr:col>
      <xdr:colOff>933450</xdr:colOff>
      <xdr:row>11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epartment 1">
              <a:extLst>
                <a:ext uri="{FF2B5EF4-FFF2-40B4-BE49-F238E27FC236}">
                  <a16:creationId xmlns:a16="http://schemas.microsoft.com/office/drawing/2014/main" id="{50EEB656-84F7-7041-A1E8-A3E4723276B3}"/>
                </a:ext>
                <a:ext uri="{147F2762-F138-4A5C-976F-8EAC2B608ADB}">
                  <a16:predDERef xmlns:a16="http://schemas.microsoft.com/office/drawing/2014/main" pred="{0F661058-2DB1-6A19-D499-195C7591BF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91275" y="219075"/>
              <a:ext cx="1828800" cy="2124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11</xdr:row>
      <xdr:rowOff>114300</xdr:rowOff>
    </xdr:from>
    <xdr:to>
      <xdr:col>4</xdr:col>
      <xdr:colOff>447675</xdr:colOff>
      <xdr:row>14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ppointment Type 3">
              <a:extLst>
                <a:ext uri="{FF2B5EF4-FFF2-40B4-BE49-F238E27FC236}">
                  <a16:creationId xmlns:a16="http://schemas.microsoft.com/office/drawing/2014/main" id="{E60C4EB7-AF71-25E4-F378-F7FD280C5486}"/>
                </a:ext>
                <a:ext uri="{147F2762-F138-4A5C-976F-8EAC2B608ADB}">
                  <a16:predDERef xmlns:a16="http://schemas.microsoft.com/office/drawing/2014/main" pred="{50EEB656-84F7-7041-A1E8-A3E4723276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ppointment Typ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2209800"/>
              <a:ext cx="4486275" cy="60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7</xdr:row>
      <xdr:rowOff>133350</xdr:rowOff>
    </xdr:from>
    <xdr:to>
      <xdr:col>4</xdr:col>
      <xdr:colOff>457200</xdr:colOff>
      <xdr:row>11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Plan 1">
              <a:extLst>
                <a:ext uri="{FF2B5EF4-FFF2-40B4-BE49-F238E27FC236}">
                  <a16:creationId xmlns:a16="http://schemas.microsoft.com/office/drawing/2014/main" id="{D01FA3BD-05CB-0CDD-FAF6-0823FCD26A73}"/>
                </a:ext>
                <a:ext uri="{147F2762-F138-4A5C-976F-8EAC2B608ADB}">
                  <a16:predDERef xmlns:a16="http://schemas.microsoft.com/office/drawing/2014/main" pred="{E60C4EB7-AF71-25E4-F378-F7FD280C54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Pla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1466850"/>
              <a:ext cx="4495800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18</xdr:row>
      <xdr:rowOff>66675</xdr:rowOff>
    </xdr:from>
    <xdr:to>
      <xdr:col>3</xdr:col>
      <xdr:colOff>466725</xdr:colOff>
      <xdr:row>20</xdr:row>
      <xdr:rowOff>123825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20C482A3-DC23-47B7-BBE8-38875D353C12}"/>
            </a:ext>
            <a:ext uri="{147F2762-F138-4A5C-976F-8EAC2B608ADB}">
              <a16:predDERef xmlns:a16="http://schemas.microsoft.com/office/drawing/2014/main" pred="{5283DAD4-5F75-4B01-90C1-7DE0741233DF}"/>
            </a:ext>
          </a:extLst>
        </xdr:cNvPr>
        <xdr:cNvSpPr/>
      </xdr:nvSpPr>
      <xdr:spPr>
        <a:xfrm>
          <a:off x="438150" y="3495675"/>
          <a:ext cx="3724275" cy="43815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 Total  Appointments</a:t>
          </a:r>
        </a:p>
      </xdr:txBody>
    </xdr:sp>
    <xdr:clientData/>
  </xdr:twoCellAnchor>
  <xdr:twoCellAnchor>
    <xdr:from>
      <xdr:col>0</xdr:col>
      <xdr:colOff>371475</xdr:colOff>
      <xdr:row>30</xdr:row>
      <xdr:rowOff>19050</xdr:rowOff>
    </xdr:from>
    <xdr:to>
      <xdr:col>4</xdr:col>
      <xdr:colOff>76200</xdr:colOff>
      <xdr:row>32</xdr:row>
      <xdr:rowOff>133350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D2DBBC9B-4EE7-C4B2-D5D3-6F261766029B}"/>
            </a:ext>
            <a:ext uri="{147F2762-F138-4A5C-976F-8EAC2B608ADB}">
              <a16:predDERef xmlns:a16="http://schemas.microsoft.com/office/drawing/2014/main" pred="{20C482A3-DC23-47B7-BBE8-38875D353C12}"/>
            </a:ext>
          </a:extLst>
        </xdr:cNvPr>
        <xdr:cNvSpPr/>
      </xdr:nvSpPr>
      <xdr:spPr>
        <a:xfrm>
          <a:off x="371475" y="5734050"/>
          <a:ext cx="4010025" cy="49530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0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Average Waiting Time by Department table</a:t>
          </a:r>
        </a:p>
      </xdr:txBody>
    </xdr:sp>
    <xdr:clientData/>
  </xdr:twoCellAnchor>
  <xdr:twoCellAnchor>
    <xdr:from>
      <xdr:col>1</xdr:col>
      <xdr:colOff>66675</xdr:colOff>
      <xdr:row>1</xdr:row>
      <xdr:rowOff>123825</xdr:rowOff>
    </xdr:from>
    <xdr:to>
      <xdr:col>3</xdr:col>
      <xdr:colOff>85725</xdr:colOff>
      <xdr:row>3</xdr:row>
      <xdr:rowOff>180975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A46A074-6629-42E3-9974-38F77FB2F01E}"/>
            </a:ext>
            <a:ext uri="{147F2762-F138-4A5C-976F-8EAC2B608ADB}">
              <a16:predDERef xmlns:a16="http://schemas.microsoft.com/office/drawing/2014/main" pred="{D2DBBC9B-4EE7-C4B2-D5D3-6F261766029B}"/>
            </a:ext>
          </a:extLst>
        </xdr:cNvPr>
        <xdr:cNvSpPr/>
      </xdr:nvSpPr>
      <xdr:spPr>
        <a:xfrm>
          <a:off x="809625" y="314325"/>
          <a:ext cx="2971800" cy="43815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    Revenue</a:t>
          </a:r>
        </a:p>
      </xdr:txBody>
    </xdr:sp>
    <xdr:clientData/>
  </xdr:twoCellAnchor>
  <xdr:twoCellAnchor>
    <xdr:from>
      <xdr:col>4</xdr:col>
      <xdr:colOff>247650</xdr:colOff>
      <xdr:row>1</xdr:row>
      <xdr:rowOff>0</xdr:rowOff>
    </xdr:from>
    <xdr:to>
      <xdr:col>7</xdr:col>
      <xdr:colOff>333375</xdr:colOff>
      <xdr:row>3</xdr:row>
      <xdr:rowOff>57150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ECEFA0AA-3030-40EA-8752-B550F4D6806A}"/>
            </a:ext>
            <a:ext uri="{147F2762-F138-4A5C-976F-8EAC2B608ADB}">
              <a16:predDERef xmlns:a16="http://schemas.microsoft.com/office/drawing/2014/main" pred="{0A46A074-6629-42E3-9974-38F77FB2F01E}"/>
            </a:ext>
          </a:extLst>
        </xdr:cNvPr>
        <xdr:cNvSpPr/>
      </xdr:nvSpPr>
      <xdr:spPr>
        <a:xfrm>
          <a:off x="4552950" y="190500"/>
          <a:ext cx="3724275" cy="43815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Department Rating</a:t>
          </a:r>
        </a:p>
      </xdr:txBody>
    </xdr:sp>
    <xdr:clientData/>
  </xdr:twoCellAnchor>
  <xdr:twoCellAnchor>
    <xdr:from>
      <xdr:col>9</xdr:col>
      <xdr:colOff>952500</xdr:colOff>
      <xdr:row>1</xdr:row>
      <xdr:rowOff>161925</xdr:rowOff>
    </xdr:from>
    <xdr:to>
      <xdr:col>15</xdr:col>
      <xdr:colOff>219075</xdr:colOff>
      <xdr:row>4</xdr:row>
      <xdr:rowOff>28575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D1DE08D8-BC94-426F-9C39-7E31B8598B64}"/>
            </a:ext>
            <a:ext uri="{147F2762-F138-4A5C-976F-8EAC2B608ADB}">
              <a16:predDERef xmlns:a16="http://schemas.microsoft.com/office/drawing/2014/main" pred="{ECEFA0AA-3030-40EA-8752-B550F4D6806A}"/>
            </a:ext>
          </a:extLst>
        </xdr:cNvPr>
        <xdr:cNvSpPr/>
      </xdr:nvSpPr>
      <xdr:spPr>
        <a:xfrm>
          <a:off x="10115550" y="352425"/>
          <a:ext cx="4953000" cy="43815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   Appointments Type by Department</a:t>
          </a:r>
        </a:p>
      </xdr:txBody>
    </xdr:sp>
    <xdr:clientData/>
  </xdr:twoCellAnchor>
  <xdr:twoCellAnchor>
    <xdr:from>
      <xdr:col>5</xdr:col>
      <xdr:colOff>781050</xdr:colOff>
      <xdr:row>18</xdr:row>
      <xdr:rowOff>19050</xdr:rowOff>
    </xdr:from>
    <xdr:to>
      <xdr:col>9</xdr:col>
      <xdr:colOff>257175</xdr:colOff>
      <xdr:row>20</xdr:row>
      <xdr:rowOff>76200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AAC43660-7CF8-4688-89C9-A012DAE63F81}"/>
            </a:ext>
            <a:ext uri="{147F2762-F138-4A5C-976F-8EAC2B608ADB}">
              <a16:predDERef xmlns:a16="http://schemas.microsoft.com/office/drawing/2014/main" pred="{D1DE08D8-BC94-426F-9C39-7E31B8598B64}"/>
            </a:ext>
          </a:extLst>
        </xdr:cNvPr>
        <xdr:cNvSpPr/>
      </xdr:nvSpPr>
      <xdr:spPr>
        <a:xfrm>
          <a:off x="5695950" y="3448050"/>
          <a:ext cx="3724275" cy="43815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   Subscription Plan</a:t>
          </a:r>
        </a:p>
      </xdr:txBody>
    </xdr:sp>
    <xdr:clientData/>
  </xdr:twoCellAnchor>
  <xdr:twoCellAnchor>
    <xdr:from>
      <xdr:col>12</xdr:col>
      <xdr:colOff>76200</xdr:colOff>
      <xdr:row>18</xdr:row>
      <xdr:rowOff>123825</xdr:rowOff>
    </xdr:from>
    <xdr:to>
      <xdr:col>15</xdr:col>
      <xdr:colOff>447675</xdr:colOff>
      <xdr:row>20</xdr:row>
      <xdr:rowOff>180975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3F61794D-0588-4904-8DAF-E8F03FA55D7A}"/>
            </a:ext>
            <a:ext uri="{147F2762-F138-4A5C-976F-8EAC2B608ADB}">
              <a16:predDERef xmlns:a16="http://schemas.microsoft.com/office/drawing/2014/main" pred="{AAC43660-7CF8-4688-89C9-A012DAE63F81}"/>
            </a:ext>
          </a:extLst>
        </xdr:cNvPr>
        <xdr:cNvSpPr/>
      </xdr:nvSpPr>
      <xdr:spPr>
        <a:xfrm>
          <a:off x="10991850" y="3552825"/>
          <a:ext cx="2676525" cy="43815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     Hospital Rating</a:t>
          </a:r>
        </a:p>
      </xdr:txBody>
    </xdr:sp>
    <xdr:clientData/>
  </xdr:twoCellAnchor>
  <xdr:twoCellAnchor>
    <xdr:from>
      <xdr:col>16</xdr:col>
      <xdr:colOff>600075</xdr:colOff>
      <xdr:row>2</xdr:row>
      <xdr:rowOff>19050</xdr:rowOff>
    </xdr:from>
    <xdr:to>
      <xdr:col>20</xdr:col>
      <xdr:colOff>409575</xdr:colOff>
      <xdr:row>4</xdr:row>
      <xdr:rowOff>76200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1BCB6307-D942-4762-8433-01D3598B9ECD}"/>
            </a:ext>
            <a:ext uri="{147F2762-F138-4A5C-976F-8EAC2B608ADB}">
              <a16:predDERef xmlns:a16="http://schemas.microsoft.com/office/drawing/2014/main" pred="{3F61794D-0588-4904-8DAF-E8F03FA55D7A}"/>
            </a:ext>
          </a:extLst>
        </xdr:cNvPr>
        <xdr:cNvSpPr/>
      </xdr:nvSpPr>
      <xdr:spPr>
        <a:xfrm>
          <a:off x="14430375" y="400050"/>
          <a:ext cx="3819525" cy="438150"/>
        </a:xfrm>
        <a:prstGeom prst="roundRect">
          <a:avLst/>
        </a:prstGeom>
        <a:solidFill>
          <a:srgbClr val="76993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             Doctor Ratingack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1.966302777779" createdVersion="8" refreshedVersion="8" minRefreshableVersion="3" recordCount="200" xr:uid="{2D152057-C2F2-462A-A5CE-E029A6E4DB40}">
  <cacheSource type="worksheet">
    <worksheetSource ref="A1:T201" sheet="Raw data"/>
  </cacheSource>
  <cacheFields count="20">
    <cacheField name="Record ID" numFmtId="0">
      <sharedItems/>
    </cacheField>
    <cacheField name="Date" numFmtId="14">
      <sharedItems containsSemiMixedTypes="0" containsNonDate="0" containsDate="1" containsString="0" minDate="2025-05-01T00:00:00" maxDate="2025-06-01T00:00:00"/>
    </cacheField>
    <cacheField name="Patient Name" numFmtId="0">
      <sharedItems/>
    </cacheField>
    <cacheField name="Age" numFmtId="0">
      <sharedItems containsSemiMixedTypes="0" containsString="0" containsNumber="1" containsInteger="1" minValue="18" maxValue="75" count="55">
        <n v="20"/>
        <n v="24"/>
        <n v="28"/>
        <n v="34"/>
        <n v="58"/>
        <n v="36"/>
        <n v="56"/>
        <n v="18"/>
        <n v="68"/>
        <n v="69"/>
        <n v="27"/>
        <n v="22"/>
        <n v="60"/>
        <n v="74"/>
        <n v="35"/>
        <n v="75"/>
        <n v="40"/>
        <n v="50"/>
        <n v="32"/>
        <n v="71"/>
        <n v="72"/>
        <n v="64"/>
        <n v="48"/>
        <n v="63"/>
        <n v="45"/>
        <n v="53"/>
        <n v="37"/>
        <n v="31"/>
        <n v="62"/>
        <n v="54"/>
        <n v="65"/>
        <n v="23"/>
        <n v="67"/>
        <n v="19"/>
        <n v="33"/>
        <n v="46"/>
        <n v="61"/>
        <n v="59"/>
        <n v="43"/>
        <n v="70"/>
        <n v="29"/>
        <n v="47"/>
        <n v="73"/>
        <n v="42"/>
        <n v="26"/>
        <n v="30"/>
        <n v="44"/>
        <n v="66"/>
        <n v="38"/>
        <n v="57"/>
        <n v="51"/>
        <n v="49"/>
        <n v="52"/>
        <n v="39"/>
        <n v="25"/>
      </sharedItems>
    </cacheField>
    <cacheField name="Gender" numFmtId="0">
      <sharedItems/>
    </cacheField>
    <cacheField name="Region" numFmtId="0">
      <sharedItems count="4">
        <s v="North"/>
        <s v="West"/>
        <s v="East"/>
        <s v="South"/>
      </sharedItems>
    </cacheField>
    <cacheField name="City/Town" numFmtId="0">
      <sharedItems count="12">
        <s v="Delhi"/>
        <s v="Ahmedabad"/>
        <s v="Lucknow"/>
        <s v="Patna"/>
        <s v="Kolkata"/>
        <s v="Pune"/>
        <s v="Jaipur"/>
        <s v="Coimbatore"/>
        <s v="Bhubaneswar"/>
        <s v="Hyderabad"/>
        <s v="Mumbai"/>
        <s v="Chennai"/>
      </sharedItems>
    </cacheField>
    <cacheField name="Hospital Name" numFmtId="0">
      <sharedItems count="12">
        <s v="Max Super Specialty"/>
        <s v="Ruby Hall Clinic"/>
        <s v="Fortis Health"/>
        <s v="AIIMS Patna"/>
        <s v="Hiranandani Hospital"/>
        <s v="Apollo Hospitals"/>
        <s v="Apollo Kolkata"/>
        <s v="Kauvery Hospital"/>
        <s v="Sterling Hospital"/>
        <s v="AMRI Hospitals"/>
        <s v="Medanta Care"/>
        <s v="PSG Hospitals"/>
      </sharedItems>
    </cacheField>
    <cacheField name="Doctor Name" numFmtId="0">
      <sharedItems count="74">
        <s v="Dr. Anita Mehta"/>
        <s v="Dr. S. Reddy Das"/>
        <s v="Dr. Nikhil Das"/>
        <s v="Dr. S. Kumar Das"/>
        <s v="Dr. S. Reddy Joshi"/>
        <s v="Dr. Amit Verma"/>
        <s v="Dr. Meera Mehta"/>
        <s v="Dr. Nikhil Mishra"/>
        <s v="Dr. Anita Mishra"/>
        <s v="Dr. Kunal Singh"/>
        <s v="Dr. Priya Desai"/>
        <s v="Dr. Amit Mehta"/>
        <s v="Dr. Kunal Verma"/>
        <s v="Dr. Nikhil Singh"/>
        <s v="Dr. Meera Joshi"/>
        <s v="Dr. Kunal Mishra"/>
        <s v="Dr. Rahul Singh"/>
        <s v="Dr. Rajesh Desai"/>
        <s v="Dr. Kunal Mehta"/>
        <s v="Dr. Meera Roy"/>
        <s v="Dr. Anita Desai"/>
        <s v="Dr. S. Kumar Roy"/>
        <s v="Dr. Amit Singh"/>
        <s v="Dr. S. Kumar Joshi"/>
        <s v="Dr. Kunal Das"/>
        <s v="Dr. Rahul Desai"/>
        <s v="Dr. Nikhil Desai"/>
        <s v="Dr. Nikhil Verma"/>
        <s v="Dr. S. Kumar Verma"/>
        <s v="Dr. Rajesh Roy"/>
        <s v="Dr. Meera Singh"/>
        <s v="Dr. Amit Roy"/>
        <s v="Dr. Amit Desai"/>
        <s v="Dr. S. Kumar Mishra"/>
        <s v="Dr. Rahul Mehta"/>
        <s v="Dr. S. Reddy Verma"/>
        <s v="Dr. Rahul Roy"/>
        <s v="Dr. S. Reddy Roy"/>
        <s v="Dr. Anita Roy"/>
        <s v="Dr. S. Reddy Desai"/>
        <s v="Dr. Meera Verma"/>
        <s v="Dr. Kunal Joshi"/>
        <s v="Dr. Amit Mishra"/>
        <s v="Dr. Rajesh Das"/>
        <s v="Dr. Rahul Joshi"/>
        <s v="Dr. Priya Verma"/>
        <s v="Dr. S. Reddy Mehta"/>
        <s v="Dr. Meera Mishra"/>
        <s v="Dr. Rahul Verma"/>
        <s v="Dr. Anita Joshi"/>
        <s v="Dr. Rajesh Mishra"/>
        <s v="Dr. Amit Joshi"/>
        <s v="Dr. Nikhil Joshi"/>
        <s v="Dr. Rahul Mishra"/>
        <s v="Dr. Nikhil Roy"/>
        <s v="Dr. Anita Singh"/>
        <s v="Dr. Priya Joshi"/>
        <s v="Dr. Rahul Das"/>
        <s v="Dr. Meera Das"/>
        <s v="Dr. Priya Roy"/>
        <s v="Dr. Nikhil Mehta"/>
        <s v="Dr. Kunal Desai"/>
        <s v="Dr. S. Reddy Singh"/>
        <s v="Dr. Priya Mishra"/>
        <s v="Dr. Meera Desai"/>
        <s v="Dr. Rajesh Singh"/>
        <s v="Dr. Amit Das"/>
        <s v="Dr. Priya Das"/>
        <s v="Dr. Priya Mehta"/>
        <s v="Dr. S. Kumar Mehta"/>
        <s v="Dr. Rajesh Mehta"/>
        <s v="Dr. S. Kumar Desai"/>
        <s v="Dr. Priya Singh"/>
        <s v="Dr. Anita Das"/>
      </sharedItems>
    </cacheField>
    <cacheField name="Department" numFmtId="0">
      <sharedItems count="8">
        <s v="Gynecology"/>
        <s v="Cardiology"/>
        <s v="ENT"/>
        <s v="Orthopedics"/>
        <s v="Neurology"/>
        <s v="General Medicine"/>
        <s v="Dermatology"/>
        <s v="Oncology"/>
      </sharedItems>
    </cacheField>
    <cacheField name="Appointment Type" numFmtId="0">
      <sharedItems count="3">
        <s v="Regular"/>
        <s v="Teleconsultation"/>
        <s v="Emergency"/>
      </sharedItems>
    </cacheField>
    <cacheField name="Booking Channel" numFmtId="0">
      <sharedItems/>
    </cacheField>
    <cacheField name="Appointment Status" numFmtId="0">
      <sharedItems/>
    </cacheField>
    <cacheField name="Response Time (min)" numFmtId="0">
      <sharedItems containsSemiMixedTypes="0" containsString="0" containsNumber="1" containsInteger="1" minValue="5" maxValue="25"/>
    </cacheField>
    <cacheField name="Waiting Time (min)" numFmtId="0">
      <sharedItems containsSemiMixedTypes="0" containsString="0" containsNumber="1" containsInteger="1" minValue="0" maxValue="45" count="45">
        <n v="13"/>
        <n v="6"/>
        <n v="5"/>
        <n v="17"/>
        <n v="0"/>
        <n v="38"/>
        <n v="1"/>
        <n v="34"/>
        <n v="3"/>
        <n v="12"/>
        <n v="16"/>
        <n v="18"/>
        <n v="28"/>
        <n v="43"/>
        <n v="24"/>
        <n v="21"/>
        <n v="20"/>
        <n v="37"/>
        <n v="14"/>
        <n v="30"/>
        <n v="44"/>
        <n v="8"/>
        <n v="35"/>
        <n v="31"/>
        <n v="9"/>
        <n v="45"/>
        <n v="26"/>
        <n v="19"/>
        <n v="39"/>
        <n v="25"/>
        <n v="29"/>
        <n v="32"/>
        <n v="41"/>
        <n v="22"/>
        <n v="4"/>
        <n v="33"/>
        <n v="7"/>
        <n v="36"/>
        <n v="15"/>
        <n v="10"/>
        <n v="11"/>
        <n v="27"/>
        <n v="40"/>
        <n v="2"/>
        <n v="23"/>
      </sharedItems>
    </cacheField>
    <cacheField name="Treatment Cost (₹)" numFmtId="0">
      <sharedItems containsSemiMixedTypes="0" containsString="0" containsNumber="1" containsInteger="1" minValue="0" maxValue="1498"/>
    </cacheField>
    <cacheField name="Follow-Up Required" numFmtId="0">
      <sharedItems/>
    </cacheField>
    <cacheField name="Emergency Alert Triggered" numFmtId="0">
      <sharedItems count="2">
        <s v="Yes"/>
        <s v="No"/>
      </sharedItems>
    </cacheField>
    <cacheField name="Subscription Plan" numFmtId="0">
      <sharedItems count="3">
        <s v="Free"/>
        <s v="Basic"/>
        <s v="Premium"/>
      </sharedItems>
    </cacheField>
    <cacheField name="User Rating (/5)" numFmtId="0">
      <sharedItems containsSemiMixedTypes="0" containsString="0" containsNumber="1" minValue="2.73" maxValue="5"/>
    </cacheField>
  </cacheFields>
  <extLst>
    <ext xmlns:x14="http://schemas.microsoft.com/office/spreadsheetml/2009/9/main" uri="{725AE2AE-9491-48be-B2B4-4EB974FC3084}">
      <x14:pivotCacheDefinition pivotCacheId="16148870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AYH-001"/>
    <d v="2025-05-08T00:00:00"/>
    <s v="Priyanka Rana"/>
    <x v="0"/>
    <s v="M"/>
    <x v="0"/>
    <x v="0"/>
    <x v="0"/>
    <x v="0"/>
    <x v="0"/>
    <x v="0"/>
    <s v="App"/>
    <s v="Completed"/>
    <n v="7"/>
    <x v="0"/>
    <n v="876"/>
    <s v="Yes"/>
    <x v="0"/>
    <x v="0"/>
    <n v="4"/>
  </r>
  <r>
    <s v="AYH-002"/>
    <d v="2025-05-18T00:00:00"/>
    <s v="Meena Nair"/>
    <x v="1"/>
    <s v="M"/>
    <x v="1"/>
    <x v="1"/>
    <x v="1"/>
    <x v="1"/>
    <x v="1"/>
    <x v="0"/>
    <s v="Hospital Desk"/>
    <s v="Completed"/>
    <n v="17"/>
    <x v="1"/>
    <n v="1135"/>
    <s v="Yes"/>
    <x v="0"/>
    <x v="1"/>
    <n v="4.7"/>
  </r>
  <r>
    <s v="AYH-003"/>
    <d v="2025-05-06T00:00:00"/>
    <s v="Geeta Bora"/>
    <x v="0"/>
    <s v="M"/>
    <x v="0"/>
    <x v="2"/>
    <x v="2"/>
    <x v="2"/>
    <x v="0"/>
    <x v="1"/>
    <s v="Hospital Desk"/>
    <s v="Completed"/>
    <n v="14"/>
    <x v="2"/>
    <n v="876"/>
    <s v="Yes"/>
    <x v="1"/>
    <x v="2"/>
    <n v="4.7"/>
  </r>
  <r>
    <s v="AYH-004"/>
    <d v="2025-05-13T00:00:00"/>
    <s v="Meena Bora"/>
    <x v="2"/>
    <s v="F"/>
    <x v="2"/>
    <x v="3"/>
    <x v="3"/>
    <x v="0"/>
    <x v="0"/>
    <x v="1"/>
    <s v="Hospital Desk"/>
    <s v="Completed"/>
    <n v="17"/>
    <x v="3"/>
    <n v="849"/>
    <s v="Yes"/>
    <x v="1"/>
    <x v="2"/>
    <n v="4.4000000000000004"/>
  </r>
  <r>
    <s v="AYH-005"/>
    <d v="2025-05-29T00:00:00"/>
    <s v="Alok Rana"/>
    <x v="3"/>
    <s v="M"/>
    <x v="2"/>
    <x v="4"/>
    <x v="3"/>
    <x v="3"/>
    <x v="2"/>
    <x v="0"/>
    <s v="Hospital Desk"/>
    <s v="No-Show"/>
    <n v="12"/>
    <x v="4"/>
    <n v="0"/>
    <s v="No"/>
    <x v="1"/>
    <x v="1"/>
    <n v="2.73"/>
  </r>
  <r>
    <s v="AYH-006"/>
    <d v="2025-05-18T00:00:00"/>
    <s v="Suresh Ghosh"/>
    <x v="4"/>
    <s v="M"/>
    <x v="1"/>
    <x v="5"/>
    <x v="4"/>
    <x v="4"/>
    <x v="3"/>
    <x v="1"/>
    <s v="SMS"/>
    <s v="Completed"/>
    <n v="18"/>
    <x v="5"/>
    <n v="530"/>
    <s v="Yes"/>
    <x v="1"/>
    <x v="0"/>
    <n v="3.8"/>
  </r>
  <r>
    <s v="AYH-007"/>
    <d v="2025-05-25T00:00:00"/>
    <s v="Pradeep Shah"/>
    <x v="5"/>
    <s v="F"/>
    <x v="0"/>
    <x v="6"/>
    <x v="0"/>
    <x v="5"/>
    <x v="4"/>
    <x v="1"/>
    <s v="Hospital Desk"/>
    <s v="Cancelled"/>
    <n v="10"/>
    <x v="4"/>
    <n v="0"/>
    <s v="No"/>
    <x v="1"/>
    <x v="2"/>
    <n v="2.73"/>
  </r>
  <r>
    <s v="AYH-008"/>
    <d v="2025-05-29T00:00:00"/>
    <s v="Meena Ali"/>
    <x v="6"/>
    <s v="F"/>
    <x v="3"/>
    <x v="7"/>
    <x v="5"/>
    <x v="6"/>
    <x v="0"/>
    <x v="1"/>
    <s v="Hospital Desk"/>
    <s v="Completed"/>
    <n v="20"/>
    <x v="6"/>
    <n v="629"/>
    <s v="Yes"/>
    <x v="1"/>
    <x v="2"/>
    <n v="4.9000000000000004"/>
  </r>
  <r>
    <s v="AYH-009"/>
    <d v="2025-05-15T00:00:00"/>
    <s v="Geeta Shah"/>
    <x v="3"/>
    <s v="F"/>
    <x v="0"/>
    <x v="0"/>
    <x v="0"/>
    <x v="7"/>
    <x v="5"/>
    <x v="0"/>
    <s v="Hospital Desk"/>
    <s v="Completed"/>
    <n v="11"/>
    <x v="7"/>
    <n v="811"/>
    <s v="No"/>
    <x v="1"/>
    <x v="2"/>
    <n v="4.4000000000000004"/>
  </r>
  <r>
    <s v="AYH-010"/>
    <d v="2025-05-08T00:00:00"/>
    <s v="Arjun Shah"/>
    <x v="7"/>
    <s v="M"/>
    <x v="0"/>
    <x v="0"/>
    <x v="2"/>
    <x v="8"/>
    <x v="4"/>
    <x v="2"/>
    <s v="App"/>
    <s v="Completed"/>
    <n v="25"/>
    <x v="8"/>
    <n v="868"/>
    <s v="Yes"/>
    <x v="0"/>
    <x v="1"/>
    <n v="3.1"/>
  </r>
  <r>
    <s v="AYH-011"/>
    <d v="2025-05-12T00:00:00"/>
    <s v="Nisha Rana"/>
    <x v="8"/>
    <s v="F"/>
    <x v="2"/>
    <x v="8"/>
    <x v="6"/>
    <x v="9"/>
    <x v="6"/>
    <x v="1"/>
    <s v="App"/>
    <s v="No-Show"/>
    <n v="18"/>
    <x v="4"/>
    <n v="0"/>
    <s v="No"/>
    <x v="1"/>
    <x v="2"/>
    <n v="2.73"/>
  </r>
  <r>
    <s v="AYH-012"/>
    <d v="2025-05-15T00:00:00"/>
    <s v="Lata Ghosh"/>
    <x v="9"/>
    <s v="M"/>
    <x v="1"/>
    <x v="5"/>
    <x v="1"/>
    <x v="10"/>
    <x v="1"/>
    <x v="1"/>
    <s v="Hospital Desk"/>
    <s v="Completed"/>
    <n v="12"/>
    <x v="9"/>
    <n v="789"/>
    <s v="No"/>
    <x v="0"/>
    <x v="2"/>
    <n v="4.0999999999999996"/>
  </r>
  <r>
    <s v="AYH-013"/>
    <d v="2025-05-06T00:00:00"/>
    <s v="Tanya Kumar"/>
    <x v="2"/>
    <s v="F"/>
    <x v="3"/>
    <x v="9"/>
    <x v="7"/>
    <x v="11"/>
    <x v="4"/>
    <x v="0"/>
    <s v="Hospital Desk"/>
    <s v="No-Show"/>
    <n v="20"/>
    <x v="4"/>
    <n v="0"/>
    <s v="Yes"/>
    <x v="1"/>
    <x v="2"/>
    <n v="2.73"/>
  </r>
  <r>
    <s v="AYH-014"/>
    <d v="2025-05-02T00:00:00"/>
    <s v="Alok Shah"/>
    <x v="10"/>
    <s v="M"/>
    <x v="1"/>
    <x v="10"/>
    <x v="1"/>
    <x v="12"/>
    <x v="0"/>
    <x v="2"/>
    <s v="SMS"/>
    <s v="In Progress"/>
    <n v="14"/>
    <x v="4"/>
    <n v="0"/>
    <s v="No"/>
    <x v="0"/>
    <x v="1"/>
    <n v="2.73"/>
  </r>
  <r>
    <s v="AYH-015"/>
    <d v="2025-05-19T00:00:00"/>
    <s v="Alok Ali"/>
    <x v="11"/>
    <s v="M"/>
    <x v="2"/>
    <x v="4"/>
    <x v="3"/>
    <x v="13"/>
    <x v="5"/>
    <x v="1"/>
    <s v="Hospital Desk"/>
    <s v="In Progress"/>
    <n v="12"/>
    <x v="4"/>
    <n v="0"/>
    <s v="Yes"/>
    <x v="1"/>
    <x v="0"/>
    <n v="2.73"/>
  </r>
  <r>
    <s v="AYH-016"/>
    <d v="2025-05-01T00:00:00"/>
    <s v="Vikas Joshi"/>
    <x v="12"/>
    <s v="F"/>
    <x v="0"/>
    <x v="6"/>
    <x v="2"/>
    <x v="14"/>
    <x v="7"/>
    <x v="1"/>
    <s v="Hospital Desk"/>
    <s v="Completed"/>
    <n v="12"/>
    <x v="10"/>
    <n v="1210"/>
    <s v="No"/>
    <x v="1"/>
    <x v="1"/>
    <n v="3.3"/>
  </r>
  <r>
    <s v="AYH-017"/>
    <d v="2025-05-01T00:00:00"/>
    <s v="Divya Shah"/>
    <x v="13"/>
    <s v="M"/>
    <x v="1"/>
    <x v="1"/>
    <x v="8"/>
    <x v="3"/>
    <x v="4"/>
    <x v="0"/>
    <s v="Hospital Desk"/>
    <s v="Completed"/>
    <n v="16"/>
    <x v="11"/>
    <n v="723"/>
    <s v="No"/>
    <x v="1"/>
    <x v="0"/>
    <n v="3.9"/>
  </r>
  <r>
    <s v="AYH-018"/>
    <d v="2025-05-17T00:00:00"/>
    <s v="Sunil Ghosh"/>
    <x v="14"/>
    <s v="F"/>
    <x v="2"/>
    <x v="8"/>
    <x v="3"/>
    <x v="15"/>
    <x v="3"/>
    <x v="2"/>
    <s v="App"/>
    <s v="Cancelled"/>
    <n v="24"/>
    <x v="4"/>
    <n v="0"/>
    <s v="Yes"/>
    <x v="0"/>
    <x v="2"/>
    <n v="2.73"/>
  </r>
  <r>
    <s v="AYH-019"/>
    <d v="2025-05-02T00:00:00"/>
    <s v="Aamir Shah"/>
    <x v="4"/>
    <s v="F"/>
    <x v="1"/>
    <x v="5"/>
    <x v="4"/>
    <x v="16"/>
    <x v="4"/>
    <x v="1"/>
    <s v="SMS"/>
    <s v="Completed"/>
    <n v="10"/>
    <x v="12"/>
    <n v="1275"/>
    <s v="No"/>
    <x v="1"/>
    <x v="2"/>
    <n v="4.0999999999999996"/>
  </r>
  <r>
    <s v="AYH-020"/>
    <d v="2025-05-30T00:00:00"/>
    <s v="Divya Patel"/>
    <x v="15"/>
    <s v="F"/>
    <x v="2"/>
    <x v="8"/>
    <x v="9"/>
    <x v="17"/>
    <x v="3"/>
    <x v="2"/>
    <s v="App"/>
    <s v="Completed"/>
    <n v="11"/>
    <x v="13"/>
    <n v="911"/>
    <s v="Yes"/>
    <x v="0"/>
    <x v="0"/>
    <n v="4.3"/>
  </r>
  <r>
    <s v="AYH-021"/>
    <d v="2025-05-10T00:00:00"/>
    <s v="Geeta Bora"/>
    <x v="14"/>
    <s v="M"/>
    <x v="3"/>
    <x v="9"/>
    <x v="5"/>
    <x v="18"/>
    <x v="7"/>
    <x v="0"/>
    <s v="App"/>
    <s v="Completed"/>
    <n v="8"/>
    <x v="14"/>
    <n v="479"/>
    <s v="No"/>
    <x v="1"/>
    <x v="2"/>
    <n v="4.7"/>
  </r>
  <r>
    <s v="AYH-022"/>
    <d v="2025-05-02T00:00:00"/>
    <s v="Alok Ghosh"/>
    <x v="16"/>
    <s v="F"/>
    <x v="3"/>
    <x v="9"/>
    <x v="5"/>
    <x v="19"/>
    <x v="6"/>
    <x v="2"/>
    <s v="SMS"/>
    <s v="Completed"/>
    <n v="22"/>
    <x v="15"/>
    <n v="456"/>
    <s v="No"/>
    <x v="0"/>
    <x v="0"/>
    <n v="3.2"/>
  </r>
  <r>
    <s v="AYH-023"/>
    <d v="2025-05-30T00:00:00"/>
    <s v="Ravi Shah"/>
    <x v="15"/>
    <s v="M"/>
    <x v="0"/>
    <x v="6"/>
    <x v="10"/>
    <x v="20"/>
    <x v="2"/>
    <x v="1"/>
    <s v="SMS"/>
    <s v="In Progress"/>
    <n v="13"/>
    <x v="4"/>
    <n v="0"/>
    <s v="Yes"/>
    <x v="0"/>
    <x v="1"/>
    <n v="2.73"/>
  </r>
  <r>
    <s v="AYH-024"/>
    <d v="2025-05-22T00:00:00"/>
    <s v="Sunil Rana"/>
    <x v="17"/>
    <s v="F"/>
    <x v="3"/>
    <x v="11"/>
    <x v="7"/>
    <x v="21"/>
    <x v="4"/>
    <x v="1"/>
    <s v="SMS"/>
    <s v="Completed"/>
    <n v="18"/>
    <x v="16"/>
    <n v="1224"/>
    <s v="Yes"/>
    <x v="0"/>
    <x v="2"/>
    <n v="4.4000000000000004"/>
  </r>
  <r>
    <s v="AYH-025"/>
    <d v="2025-05-26T00:00:00"/>
    <s v="Suresh Nair"/>
    <x v="5"/>
    <s v="M"/>
    <x v="1"/>
    <x v="1"/>
    <x v="8"/>
    <x v="11"/>
    <x v="3"/>
    <x v="1"/>
    <s v="Hospital Desk"/>
    <s v="Completed"/>
    <n v="18"/>
    <x v="17"/>
    <n v="1059"/>
    <s v="Yes"/>
    <x v="0"/>
    <x v="1"/>
    <n v="3.9"/>
  </r>
  <r>
    <s v="AYH-026"/>
    <d v="2025-05-29T00:00:00"/>
    <s v="Geeta Rana"/>
    <x v="18"/>
    <s v="M"/>
    <x v="3"/>
    <x v="7"/>
    <x v="5"/>
    <x v="22"/>
    <x v="0"/>
    <x v="1"/>
    <s v="Hospital Desk"/>
    <s v="Completed"/>
    <n v="9"/>
    <x v="6"/>
    <n v="494"/>
    <s v="Yes"/>
    <x v="0"/>
    <x v="2"/>
    <n v="3.5"/>
  </r>
  <r>
    <s v="AYH-027"/>
    <d v="2025-05-08T00:00:00"/>
    <s v="Meena Shah"/>
    <x v="15"/>
    <s v="M"/>
    <x v="3"/>
    <x v="7"/>
    <x v="11"/>
    <x v="23"/>
    <x v="7"/>
    <x v="2"/>
    <s v="SMS"/>
    <s v="Completed"/>
    <n v="18"/>
    <x v="18"/>
    <n v="760"/>
    <s v="Yes"/>
    <x v="0"/>
    <x v="0"/>
    <n v="4.5999999999999996"/>
  </r>
  <r>
    <s v="AYH-028"/>
    <d v="2025-05-21T00:00:00"/>
    <s v="Suresh Nair"/>
    <x v="19"/>
    <s v="F"/>
    <x v="0"/>
    <x v="2"/>
    <x v="2"/>
    <x v="24"/>
    <x v="5"/>
    <x v="1"/>
    <s v="Hospital Desk"/>
    <s v="Completed"/>
    <n v="10"/>
    <x v="19"/>
    <n v="1321"/>
    <s v="No"/>
    <x v="0"/>
    <x v="2"/>
    <n v="3.5"/>
  </r>
  <r>
    <s v="AYH-029"/>
    <d v="2025-05-18T00:00:00"/>
    <s v="Farhan Bora"/>
    <x v="10"/>
    <s v="M"/>
    <x v="3"/>
    <x v="11"/>
    <x v="7"/>
    <x v="25"/>
    <x v="4"/>
    <x v="1"/>
    <s v="SMS"/>
    <s v="Completed"/>
    <n v="17"/>
    <x v="20"/>
    <n v="712"/>
    <s v="Yes"/>
    <x v="1"/>
    <x v="0"/>
    <n v="4.4000000000000004"/>
  </r>
  <r>
    <s v="AYH-030"/>
    <d v="2025-05-26T00:00:00"/>
    <s v="Priyanka Shah"/>
    <x v="20"/>
    <s v="F"/>
    <x v="1"/>
    <x v="5"/>
    <x v="4"/>
    <x v="26"/>
    <x v="6"/>
    <x v="2"/>
    <s v="SMS"/>
    <s v="Completed"/>
    <n v="20"/>
    <x v="4"/>
    <n v="1120"/>
    <s v="Yes"/>
    <x v="0"/>
    <x v="2"/>
    <n v="3.6"/>
  </r>
  <r>
    <s v="AYH-031"/>
    <d v="2025-05-05T00:00:00"/>
    <s v="Arjun Rana"/>
    <x v="21"/>
    <s v="M"/>
    <x v="3"/>
    <x v="11"/>
    <x v="5"/>
    <x v="27"/>
    <x v="0"/>
    <x v="2"/>
    <s v="SMS"/>
    <s v="Completed"/>
    <n v="19"/>
    <x v="21"/>
    <n v="1493"/>
    <s v="No"/>
    <x v="0"/>
    <x v="0"/>
    <n v="3.1"/>
  </r>
  <r>
    <s v="AYH-032"/>
    <d v="2025-05-21T00:00:00"/>
    <s v="Rohit Ali"/>
    <x v="14"/>
    <s v="F"/>
    <x v="1"/>
    <x v="10"/>
    <x v="4"/>
    <x v="28"/>
    <x v="0"/>
    <x v="2"/>
    <s v="SMS"/>
    <s v="Completed"/>
    <n v="13"/>
    <x v="2"/>
    <n v="1363"/>
    <s v="No"/>
    <x v="0"/>
    <x v="0"/>
    <n v="3"/>
  </r>
  <r>
    <s v="AYH-033"/>
    <d v="2025-05-31T00:00:00"/>
    <s v="Divya Das"/>
    <x v="22"/>
    <s v="M"/>
    <x v="0"/>
    <x v="6"/>
    <x v="2"/>
    <x v="29"/>
    <x v="1"/>
    <x v="0"/>
    <s v="App"/>
    <s v="Completed"/>
    <n v="23"/>
    <x v="0"/>
    <n v="1352"/>
    <s v="Yes"/>
    <x v="1"/>
    <x v="2"/>
    <n v="4.4000000000000004"/>
  </r>
  <r>
    <s v="AYH-034"/>
    <d v="2025-05-12T00:00:00"/>
    <s v="Alok Kumar"/>
    <x v="23"/>
    <s v="M"/>
    <x v="0"/>
    <x v="0"/>
    <x v="10"/>
    <x v="30"/>
    <x v="4"/>
    <x v="1"/>
    <s v="App"/>
    <s v="Completed"/>
    <n v="7"/>
    <x v="17"/>
    <n v="897"/>
    <s v="No"/>
    <x v="0"/>
    <x v="2"/>
    <n v="3.2"/>
  </r>
  <r>
    <s v="AYH-035"/>
    <d v="2025-05-24T00:00:00"/>
    <s v="Farhan Patel"/>
    <x v="24"/>
    <s v="F"/>
    <x v="1"/>
    <x v="1"/>
    <x v="1"/>
    <x v="31"/>
    <x v="4"/>
    <x v="1"/>
    <s v="Hospital Desk"/>
    <s v="No-Show"/>
    <n v="25"/>
    <x v="4"/>
    <n v="0"/>
    <s v="No"/>
    <x v="1"/>
    <x v="1"/>
    <n v="2.73"/>
  </r>
  <r>
    <s v="AYH-036"/>
    <d v="2025-05-16T00:00:00"/>
    <s v="Vikas Kumar"/>
    <x v="20"/>
    <s v="M"/>
    <x v="2"/>
    <x v="8"/>
    <x v="9"/>
    <x v="32"/>
    <x v="5"/>
    <x v="2"/>
    <s v="SMS"/>
    <s v="Completed"/>
    <n v="7"/>
    <x v="3"/>
    <n v="1323"/>
    <s v="No"/>
    <x v="0"/>
    <x v="2"/>
    <n v="3.5"/>
  </r>
  <r>
    <s v="AYH-037"/>
    <d v="2025-05-16T00:00:00"/>
    <s v="Kavita Rana"/>
    <x v="25"/>
    <s v="M"/>
    <x v="2"/>
    <x v="4"/>
    <x v="6"/>
    <x v="9"/>
    <x v="6"/>
    <x v="2"/>
    <s v="SMS"/>
    <s v="No-Show"/>
    <n v="21"/>
    <x v="4"/>
    <n v="0"/>
    <s v="No"/>
    <x v="0"/>
    <x v="1"/>
    <n v="2.73"/>
  </r>
  <r>
    <s v="AYH-038"/>
    <d v="2025-05-09T00:00:00"/>
    <s v="Rohit Nair"/>
    <x v="26"/>
    <s v="F"/>
    <x v="3"/>
    <x v="7"/>
    <x v="7"/>
    <x v="33"/>
    <x v="5"/>
    <x v="2"/>
    <s v="App"/>
    <s v="Completed"/>
    <n v="20"/>
    <x v="22"/>
    <n v="1487"/>
    <s v="Yes"/>
    <x v="0"/>
    <x v="0"/>
    <n v="3.7"/>
  </r>
  <r>
    <s v="AYH-039"/>
    <d v="2025-05-10T00:00:00"/>
    <s v="Nisha Ali"/>
    <x v="27"/>
    <s v="F"/>
    <x v="2"/>
    <x v="3"/>
    <x v="3"/>
    <x v="1"/>
    <x v="4"/>
    <x v="1"/>
    <s v="App"/>
    <s v="Cancelled"/>
    <n v="13"/>
    <x v="4"/>
    <n v="0"/>
    <s v="Yes"/>
    <x v="1"/>
    <x v="1"/>
    <n v="2.73"/>
  </r>
  <r>
    <s v="AYH-040"/>
    <d v="2025-05-15T00:00:00"/>
    <s v="Rekha Nair"/>
    <x v="28"/>
    <s v="M"/>
    <x v="3"/>
    <x v="11"/>
    <x v="5"/>
    <x v="1"/>
    <x v="0"/>
    <x v="0"/>
    <s v="Hospital Desk"/>
    <s v="Completed"/>
    <n v="25"/>
    <x v="23"/>
    <n v="610"/>
    <s v="Yes"/>
    <x v="0"/>
    <x v="1"/>
    <n v="4.7"/>
  </r>
  <r>
    <s v="AYH-041"/>
    <d v="2025-05-20T00:00:00"/>
    <s v="Priyanka Rana"/>
    <x v="29"/>
    <s v="M"/>
    <x v="2"/>
    <x v="4"/>
    <x v="3"/>
    <x v="9"/>
    <x v="0"/>
    <x v="2"/>
    <s v="App"/>
    <s v="Completed"/>
    <n v="9"/>
    <x v="24"/>
    <n v="1022"/>
    <s v="Yes"/>
    <x v="0"/>
    <x v="2"/>
    <n v="3.2"/>
  </r>
  <r>
    <s v="AYH-042"/>
    <d v="2025-05-22T00:00:00"/>
    <s v="Sunil Ghosh"/>
    <x v="29"/>
    <s v="M"/>
    <x v="3"/>
    <x v="7"/>
    <x v="7"/>
    <x v="34"/>
    <x v="5"/>
    <x v="2"/>
    <s v="SMS"/>
    <s v="In Progress"/>
    <n v="24"/>
    <x v="4"/>
    <n v="0"/>
    <s v="No"/>
    <x v="0"/>
    <x v="2"/>
    <n v="2.73"/>
  </r>
  <r>
    <s v="AYH-043"/>
    <d v="2025-05-26T00:00:00"/>
    <s v="Kavita Ghosh"/>
    <x v="0"/>
    <s v="M"/>
    <x v="0"/>
    <x v="0"/>
    <x v="2"/>
    <x v="22"/>
    <x v="3"/>
    <x v="1"/>
    <s v="App"/>
    <s v="Completed"/>
    <n v="14"/>
    <x v="25"/>
    <n v="979"/>
    <s v="No"/>
    <x v="0"/>
    <x v="0"/>
    <n v="4.4000000000000004"/>
  </r>
  <r>
    <s v="AYH-044"/>
    <d v="2025-05-15T00:00:00"/>
    <s v="Geeta Joshi"/>
    <x v="2"/>
    <s v="F"/>
    <x v="3"/>
    <x v="11"/>
    <x v="5"/>
    <x v="1"/>
    <x v="6"/>
    <x v="1"/>
    <s v="App"/>
    <s v="No-Show"/>
    <n v="24"/>
    <x v="4"/>
    <n v="0"/>
    <s v="Yes"/>
    <x v="1"/>
    <x v="2"/>
    <n v="2.73"/>
  </r>
  <r>
    <s v="AYH-045"/>
    <d v="2025-05-02T00:00:00"/>
    <s v="Pradeep Das"/>
    <x v="30"/>
    <s v="F"/>
    <x v="2"/>
    <x v="8"/>
    <x v="6"/>
    <x v="35"/>
    <x v="0"/>
    <x v="1"/>
    <s v="Hospital Desk"/>
    <s v="Completed"/>
    <n v="24"/>
    <x v="10"/>
    <n v="452"/>
    <s v="Yes"/>
    <x v="0"/>
    <x v="1"/>
    <n v="3.2"/>
  </r>
  <r>
    <s v="AYH-046"/>
    <d v="2025-05-23T00:00:00"/>
    <s v="Vikas Rana"/>
    <x v="31"/>
    <s v="F"/>
    <x v="3"/>
    <x v="11"/>
    <x v="11"/>
    <x v="36"/>
    <x v="5"/>
    <x v="2"/>
    <s v="App"/>
    <s v="Completed"/>
    <n v="16"/>
    <x v="26"/>
    <n v="1082"/>
    <s v="No"/>
    <x v="0"/>
    <x v="2"/>
    <n v="3.6"/>
  </r>
  <r>
    <s v="AYH-047"/>
    <d v="2025-05-21T00:00:00"/>
    <s v="Divya Nair"/>
    <x v="32"/>
    <s v="F"/>
    <x v="1"/>
    <x v="5"/>
    <x v="8"/>
    <x v="15"/>
    <x v="7"/>
    <x v="1"/>
    <s v="App"/>
    <s v="Completed"/>
    <n v="21"/>
    <x v="4"/>
    <n v="1346"/>
    <s v="No"/>
    <x v="1"/>
    <x v="1"/>
    <n v="3.8"/>
  </r>
  <r>
    <s v="AYH-048"/>
    <d v="2025-05-31T00:00:00"/>
    <s v="Nisha Nair"/>
    <x v="33"/>
    <s v="M"/>
    <x v="1"/>
    <x v="10"/>
    <x v="4"/>
    <x v="34"/>
    <x v="0"/>
    <x v="1"/>
    <s v="App"/>
    <s v="Completed"/>
    <n v="10"/>
    <x v="27"/>
    <n v="428"/>
    <s v="No"/>
    <x v="1"/>
    <x v="2"/>
    <n v="4.0999999999999996"/>
  </r>
  <r>
    <s v="AYH-049"/>
    <d v="2025-05-25T00:00:00"/>
    <s v="Arjun Ghosh"/>
    <x v="34"/>
    <s v="F"/>
    <x v="0"/>
    <x v="6"/>
    <x v="2"/>
    <x v="37"/>
    <x v="5"/>
    <x v="1"/>
    <s v="SMS"/>
    <s v="Completed"/>
    <n v="22"/>
    <x v="24"/>
    <n v="1185"/>
    <s v="No"/>
    <x v="0"/>
    <x v="1"/>
    <n v="3.4"/>
  </r>
  <r>
    <s v="AYH-050"/>
    <d v="2025-05-28T00:00:00"/>
    <s v="Geeta Bora"/>
    <x v="35"/>
    <s v="F"/>
    <x v="1"/>
    <x v="5"/>
    <x v="8"/>
    <x v="17"/>
    <x v="0"/>
    <x v="0"/>
    <s v="SMS"/>
    <s v="No-Show"/>
    <n v="16"/>
    <x v="4"/>
    <n v="0"/>
    <s v="No"/>
    <x v="1"/>
    <x v="2"/>
    <n v="2.73"/>
  </r>
  <r>
    <s v="AYH-051"/>
    <d v="2025-05-11T00:00:00"/>
    <s v="Suresh Das"/>
    <x v="12"/>
    <s v="M"/>
    <x v="3"/>
    <x v="7"/>
    <x v="5"/>
    <x v="38"/>
    <x v="7"/>
    <x v="0"/>
    <s v="SMS"/>
    <s v="Cancelled"/>
    <n v="20"/>
    <x v="4"/>
    <n v="0"/>
    <s v="No"/>
    <x v="0"/>
    <x v="0"/>
    <n v="2.73"/>
  </r>
  <r>
    <s v="AYH-052"/>
    <d v="2025-05-28T00:00:00"/>
    <s v="Arjun Bora"/>
    <x v="22"/>
    <s v="F"/>
    <x v="0"/>
    <x v="2"/>
    <x v="2"/>
    <x v="39"/>
    <x v="5"/>
    <x v="0"/>
    <s v="Hospital Desk"/>
    <s v="No-Show"/>
    <n v="15"/>
    <x v="4"/>
    <n v="0"/>
    <s v="Yes"/>
    <x v="1"/>
    <x v="0"/>
    <n v="2.73"/>
  </r>
  <r>
    <s v="AYH-053"/>
    <d v="2025-05-26T00:00:00"/>
    <s v="Meena Bora"/>
    <x v="30"/>
    <s v="M"/>
    <x v="1"/>
    <x v="5"/>
    <x v="8"/>
    <x v="40"/>
    <x v="5"/>
    <x v="1"/>
    <s v="App"/>
    <s v="Completed"/>
    <n v="18"/>
    <x v="1"/>
    <n v="605"/>
    <s v="No"/>
    <x v="1"/>
    <x v="2"/>
    <n v="3.9"/>
  </r>
  <r>
    <s v="AYH-054"/>
    <d v="2025-05-08T00:00:00"/>
    <s v="Alok Patel"/>
    <x v="2"/>
    <s v="M"/>
    <x v="0"/>
    <x v="2"/>
    <x v="10"/>
    <x v="41"/>
    <x v="2"/>
    <x v="2"/>
    <s v="App"/>
    <s v="Completed"/>
    <n v="7"/>
    <x v="28"/>
    <n v="1183"/>
    <s v="Yes"/>
    <x v="0"/>
    <x v="0"/>
    <n v="4.2"/>
  </r>
  <r>
    <s v="AYH-055"/>
    <d v="2025-05-21T00:00:00"/>
    <s v="Alok Ghosh"/>
    <x v="36"/>
    <s v="M"/>
    <x v="1"/>
    <x v="1"/>
    <x v="1"/>
    <x v="42"/>
    <x v="5"/>
    <x v="2"/>
    <s v="Hospital Desk"/>
    <s v="No-Show"/>
    <n v="7"/>
    <x v="4"/>
    <n v="0"/>
    <s v="No"/>
    <x v="0"/>
    <x v="0"/>
    <n v="2.73"/>
  </r>
  <r>
    <s v="AYH-056"/>
    <d v="2025-05-27T00:00:00"/>
    <s v="Sneha Kumar"/>
    <x v="34"/>
    <s v="F"/>
    <x v="1"/>
    <x v="1"/>
    <x v="1"/>
    <x v="43"/>
    <x v="5"/>
    <x v="2"/>
    <s v="App"/>
    <s v="No-Show"/>
    <n v="23"/>
    <x v="4"/>
    <n v="0"/>
    <s v="Yes"/>
    <x v="0"/>
    <x v="2"/>
    <n v="2.73"/>
  </r>
  <r>
    <s v="AYH-057"/>
    <d v="2025-05-29T00:00:00"/>
    <s v="Aamir Joshi"/>
    <x v="6"/>
    <s v="F"/>
    <x v="1"/>
    <x v="5"/>
    <x v="4"/>
    <x v="24"/>
    <x v="1"/>
    <x v="1"/>
    <s v="Hospital Desk"/>
    <s v="In Progress"/>
    <n v="12"/>
    <x v="4"/>
    <n v="0"/>
    <s v="No"/>
    <x v="1"/>
    <x v="1"/>
    <n v="2.73"/>
  </r>
  <r>
    <s v="AYH-058"/>
    <d v="2025-05-30T00:00:00"/>
    <s v="Lata Ghosh"/>
    <x v="30"/>
    <s v="F"/>
    <x v="0"/>
    <x v="2"/>
    <x v="10"/>
    <x v="43"/>
    <x v="1"/>
    <x v="1"/>
    <s v="SMS"/>
    <s v="Completed"/>
    <n v="10"/>
    <x v="9"/>
    <n v="670"/>
    <s v="No"/>
    <x v="0"/>
    <x v="2"/>
    <n v="4.5999999999999996"/>
  </r>
  <r>
    <s v="AYH-059"/>
    <d v="2025-05-19T00:00:00"/>
    <s v="Rohit Ghosh"/>
    <x v="20"/>
    <s v="F"/>
    <x v="1"/>
    <x v="5"/>
    <x v="8"/>
    <x v="44"/>
    <x v="2"/>
    <x v="0"/>
    <s v="SMS"/>
    <s v="Completed"/>
    <n v="7"/>
    <x v="29"/>
    <n v="428"/>
    <s v="Yes"/>
    <x v="0"/>
    <x v="2"/>
    <n v="3.5"/>
  </r>
  <r>
    <s v="AYH-060"/>
    <d v="2025-05-10T00:00:00"/>
    <s v="Meena Kumar"/>
    <x v="37"/>
    <s v="M"/>
    <x v="1"/>
    <x v="1"/>
    <x v="1"/>
    <x v="36"/>
    <x v="4"/>
    <x v="1"/>
    <s v="App"/>
    <s v="Completed"/>
    <n v="25"/>
    <x v="30"/>
    <n v="1018"/>
    <s v="No"/>
    <x v="1"/>
    <x v="1"/>
    <n v="4.3"/>
  </r>
  <r>
    <s v="AYH-061"/>
    <d v="2025-05-15T00:00:00"/>
    <s v="Rohit Ali"/>
    <x v="13"/>
    <s v="F"/>
    <x v="1"/>
    <x v="10"/>
    <x v="4"/>
    <x v="40"/>
    <x v="6"/>
    <x v="1"/>
    <s v="App"/>
    <s v="Completed"/>
    <n v="25"/>
    <x v="1"/>
    <n v="1402"/>
    <s v="No"/>
    <x v="1"/>
    <x v="1"/>
    <n v="4.2"/>
  </r>
  <r>
    <s v="AYH-062"/>
    <d v="2025-05-21T00:00:00"/>
    <s v="Arjun Ali"/>
    <x v="38"/>
    <s v="F"/>
    <x v="1"/>
    <x v="10"/>
    <x v="1"/>
    <x v="44"/>
    <x v="4"/>
    <x v="1"/>
    <s v="SMS"/>
    <s v="In Progress"/>
    <n v="11"/>
    <x v="4"/>
    <n v="0"/>
    <s v="No"/>
    <x v="1"/>
    <x v="1"/>
    <n v="2.73"/>
  </r>
  <r>
    <s v="AYH-063"/>
    <d v="2025-05-05T00:00:00"/>
    <s v="Pradeep Patel"/>
    <x v="39"/>
    <s v="M"/>
    <x v="0"/>
    <x v="0"/>
    <x v="10"/>
    <x v="45"/>
    <x v="6"/>
    <x v="0"/>
    <s v="Hospital Desk"/>
    <s v="No-Show"/>
    <n v="15"/>
    <x v="4"/>
    <n v="0"/>
    <s v="Yes"/>
    <x v="1"/>
    <x v="0"/>
    <n v="2.73"/>
  </r>
  <r>
    <s v="AYH-064"/>
    <d v="2025-05-24T00:00:00"/>
    <s v="Suresh Joshi"/>
    <x v="40"/>
    <s v="F"/>
    <x v="2"/>
    <x v="4"/>
    <x v="3"/>
    <x v="10"/>
    <x v="1"/>
    <x v="0"/>
    <s v="App"/>
    <s v="Cancelled"/>
    <n v="6"/>
    <x v="4"/>
    <n v="0"/>
    <s v="No"/>
    <x v="1"/>
    <x v="1"/>
    <n v="2.73"/>
  </r>
  <r>
    <s v="AYH-065"/>
    <d v="2025-05-29T00:00:00"/>
    <s v="Geeta Joshi"/>
    <x v="41"/>
    <s v="M"/>
    <x v="0"/>
    <x v="2"/>
    <x v="10"/>
    <x v="44"/>
    <x v="2"/>
    <x v="1"/>
    <s v="Hospital Desk"/>
    <s v="Completed"/>
    <n v="6"/>
    <x v="19"/>
    <n v="1222"/>
    <s v="Yes"/>
    <x v="0"/>
    <x v="0"/>
    <n v="3.9"/>
  </r>
  <r>
    <s v="AYH-066"/>
    <d v="2025-05-29T00:00:00"/>
    <s v="Farhan Nair"/>
    <x v="6"/>
    <s v="F"/>
    <x v="0"/>
    <x v="2"/>
    <x v="0"/>
    <x v="34"/>
    <x v="3"/>
    <x v="0"/>
    <s v="App"/>
    <s v="Completed"/>
    <n v="19"/>
    <x v="31"/>
    <n v="1281"/>
    <s v="No"/>
    <x v="0"/>
    <x v="0"/>
    <n v="3.2"/>
  </r>
  <r>
    <s v="AYH-067"/>
    <d v="2025-05-24T00:00:00"/>
    <s v="Farhan Joshi"/>
    <x v="12"/>
    <s v="F"/>
    <x v="3"/>
    <x v="11"/>
    <x v="7"/>
    <x v="16"/>
    <x v="5"/>
    <x v="2"/>
    <s v="SMS"/>
    <s v="Completed"/>
    <n v="16"/>
    <x v="24"/>
    <n v="1371"/>
    <s v="No"/>
    <x v="0"/>
    <x v="2"/>
    <n v="3.1"/>
  </r>
  <r>
    <s v="AYH-068"/>
    <d v="2025-05-08T00:00:00"/>
    <s v="Aamir Nair"/>
    <x v="42"/>
    <s v="F"/>
    <x v="2"/>
    <x v="4"/>
    <x v="9"/>
    <x v="46"/>
    <x v="1"/>
    <x v="1"/>
    <s v="Hospital Desk"/>
    <s v="Completed"/>
    <n v="6"/>
    <x v="11"/>
    <n v="1039"/>
    <s v="No"/>
    <x v="0"/>
    <x v="1"/>
    <n v="3.7"/>
  </r>
  <r>
    <s v="AYH-069"/>
    <d v="2025-05-06T00:00:00"/>
    <s v="Rohit Kumar"/>
    <x v="33"/>
    <s v="M"/>
    <x v="0"/>
    <x v="2"/>
    <x v="0"/>
    <x v="47"/>
    <x v="2"/>
    <x v="0"/>
    <s v="SMS"/>
    <s v="No-Show"/>
    <n v="13"/>
    <x v="4"/>
    <n v="0"/>
    <s v="Yes"/>
    <x v="0"/>
    <x v="1"/>
    <n v="2.73"/>
  </r>
  <r>
    <s v="AYH-070"/>
    <d v="2025-05-24T00:00:00"/>
    <s v="Rohit Ghosh"/>
    <x v="43"/>
    <s v="F"/>
    <x v="3"/>
    <x v="7"/>
    <x v="11"/>
    <x v="29"/>
    <x v="7"/>
    <x v="0"/>
    <s v="App"/>
    <s v="In Progress"/>
    <n v="19"/>
    <x v="4"/>
    <n v="0"/>
    <s v="Yes"/>
    <x v="1"/>
    <x v="2"/>
    <n v="2.73"/>
  </r>
  <r>
    <s v="AYH-071"/>
    <d v="2025-05-04T00:00:00"/>
    <s v="Rohit Rana"/>
    <x v="35"/>
    <s v="F"/>
    <x v="2"/>
    <x v="8"/>
    <x v="9"/>
    <x v="9"/>
    <x v="4"/>
    <x v="0"/>
    <s v="App"/>
    <s v="Completed"/>
    <n v="20"/>
    <x v="5"/>
    <n v="1305"/>
    <s v="Yes"/>
    <x v="0"/>
    <x v="0"/>
    <n v="3.8"/>
  </r>
  <r>
    <s v="AYH-072"/>
    <d v="2025-05-06T00:00:00"/>
    <s v="Rekha Rana"/>
    <x v="27"/>
    <s v="F"/>
    <x v="2"/>
    <x v="8"/>
    <x v="9"/>
    <x v="48"/>
    <x v="5"/>
    <x v="1"/>
    <s v="Hospital Desk"/>
    <s v="Completed"/>
    <n v="11"/>
    <x v="21"/>
    <n v="923"/>
    <s v="Yes"/>
    <x v="1"/>
    <x v="1"/>
    <n v="3.6"/>
  </r>
  <r>
    <s v="AYH-073"/>
    <d v="2025-05-19T00:00:00"/>
    <s v="Arjun Bora"/>
    <x v="42"/>
    <s v="M"/>
    <x v="3"/>
    <x v="11"/>
    <x v="11"/>
    <x v="49"/>
    <x v="6"/>
    <x v="1"/>
    <s v="Hospital Desk"/>
    <s v="No-Show"/>
    <n v="18"/>
    <x v="4"/>
    <n v="0"/>
    <s v="Yes"/>
    <x v="0"/>
    <x v="2"/>
    <n v="2.73"/>
  </r>
  <r>
    <s v="AYH-074"/>
    <d v="2025-05-14T00:00:00"/>
    <s v="Nisha Ali"/>
    <x v="9"/>
    <s v="F"/>
    <x v="1"/>
    <x v="1"/>
    <x v="1"/>
    <x v="25"/>
    <x v="7"/>
    <x v="2"/>
    <s v="App"/>
    <s v="In Progress"/>
    <n v="16"/>
    <x v="4"/>
    <n v="0"/>
    <s v="Yes"/>
    <x v="0"/>
    <x v="1"/>
    <n v="2.73"/>
  </r>
  <r>
    <s v="AYH-075"/>
    <d v="2025-05-04T00:00:00"/>
    <s v="Aamir Ali"/>
    <x v="11"/>
    <s v="M"/>
    <x v="1"/>
    <x v="1"/>
    <x v="4"/>
    <x v="50"/>
    <x v="7"/>
    <x v="2"/>
    <s v="Hospital Desk"/>
    <s v="Completed"/>
    <n v="21"/>
    <x v="31"/>
    <n v="797"/>
    <s v="Yes"/>
    <x v="0"/>
    <x v="1"/>
    <n v="4.8"/>
  </r>
  <r>
    <s v="AYH-076"/>
    <d v="2025-05-16T00:00:00"/>
    <s v="Geeta Joshi"/>
    <x v="41"/>
    <s v="F"/>
    <x v="3"/>
    <x v="11"/>
    <x v="5"/>
    <x v="29"/>
    <x v="3"/>
    <x v="1"/>
    <s v="App"/>
    <s v="Completed"/>
    <n v="23"/>
    <x v="32"/>
    <n v="1061"/>
    <s v="Yes"/>
    <x v="0"/>
    <x v="2"/>
    <n v="4.7"/>
  </r>
  <r>
    <s v="AYH-077"/>
    <d v="2025-05-18T00:00:00"/>
    <s v="Geeta Das"/>
    <x v="0"/>
    <s v="M"/>
    <x v="1"/>
    <x v="1"/>
    <x v="1"/>
    <x v="25"/>
    <x v="0"/>
    <x v="1"/>
    <s v="App"/>
    <s v="Completed"/>
    <n v="16"/>
    <x v="11"/>
    <n v="557"/>
    <s v="No"/>
    <x v="0"/>
    <x v="1"/>
    <n v="4.3"/>
  </r>
  <r>
    <s v="AYH-078"/>
    <d v="2025-05-15T00:00:00"/>
    <s v="Kavita Nair"/>
    <x v="35"/>
    <s v="M"/>
    <x v="0"/>
    <x v="2"/>
    <x v="0"/>
    <x v="45"/>
    <x v="6"/>
    <x v="2"/>
    <s v="Hospital Desk"/>
    <s v="Completed"/>
    <n v="15"/>
    <x v="25"/>
    <n v="572"/>
    <s v="Yes"/>
    <x v="0"/>
    <x v="1"/>
    <n v="4"/>
  </r>
  <r>
    <s v="AYH-079"/>
    <d v="2025-05-28T00:00:00"/>
    <s v="Pradeep Das"/>
    <x v="8"/>
    <s v="F"/>
    <x v="3"/>
    <x v="11"/>
    <x v="7"/>
    <x v="2"/>
    <x v="0"/>
    <x v="2"/>
    <s v="SMS"/>
    <s v="Completed"/>
    <n v="7"/>
    <x v="15"/>
    <n v="593"/>
    <s v="Yes"/>
    <x v="0"/>
    <x v="2"/>
    <n v="4.0999999999999996"/>
  </r>
  <r>
    <s v="AYH-080"/>
    <d v="2025-05-21T00:00:00"/>
    <s v="Suresh Joshi"/>
    <x v="44"/>
    <s v="M"/>
    <x v="3"/>
    <x v="11"/>
    <x v="5"/>
    <x v="29"/>
    <x v="3"/>
    <x v="2"/>
    <s v="SMS"/>
    <s v="Completed"/>
    <n v="14"/>
    <x v="22"/>
    <n v="1171"/>
    <s v="No"/>
    <x v="0"/>
    <x v="2"/>
    <n v="4.3"/>
  </r>
  <r>
    <s v="AYH-081"/>
    <d v="2025-05-05T00:00:00"/>
    <s v="Vikas Das"/>
    <x v="45"/>
    <s v="M"/>
    <x v="1"/>
    <x v="1"/>
    <x v="1"/>
    <x v="48"/>
    <x v="1"/>
    <x v="2"/>
    <s v="SMS"/>
    <s v="Completed"/>
    <n v="9"/>
    <x v="24"/>
    <n v="558"/>
    <s v="No"/>
    <x v="0"/>
    <x v="0"/>
    <n v="3.6"/>
  </r>
  <r>
    <s v="AYH-082"/>
    <d v="2025-05-10T00:00:00"/>
    <s v="Priyanka Ali"/>
    <x v="46"/>
    <s v="F"/>
    <x v="1"/>
    <x v="10"/>
    <x v="4"/>
    <x v="11"/>
    <x v="3"/>
    <x v="1"/>
    <s v="Hospital Desk"/>
    <s v="Completed"/>
    <n v="12"/>
    <x v="12"/>
    <n v="983"/>
    <s v="No"/>
    <x v="1"/>
    <x v="2"/>
    <n v="4.5"/>
  </r>
  <r>
    <s v="AYH-083"/>
    <d v="2025-05-23T00:00:00"/>
    <s v="Priyanka Joshi"/>
    <x v="2"/>
    <s v="M"/>
    <x v="1"/>
    <x v="10"/>
    <x v="1"/>
    <x v="42"/>
    <x v="5"/>
    <x v="2"/>
    <s v="SMS"/>
    <s v="Completed"/>
    <n v="24"/>
    <x v="21"/>
    <n v="912"/>
    <s v="No"/>
    <x v="0"/>
    <x v="2"/>
    <n v="3.1"/>
  </r>
  <r>
    <s v="AYH-084"/>
    <d v="2025-05-03T00:00:00"/>
    <s v="Kavita Rana"/>
    <x v="31"/>
    <s v="M"/>
    <x v="0"/>
    <x v="2"/>
    <x v="2"/>
    <x v="7"/>
    <x v="3"/>
    <x v="2"/>
    <s v="SMS"/>
    <s v="Completed"/>
    <n v="19"/>
    <x v="33"/>
    <n v="454"/>
    <s v="No"/>
    <x v="0"/>
    <x v="2"/>
    <n v="3.8"/>
  </r>
  <r>
    <s v="AYH-085"/>
    <d v="2025-05-29T00:00:00"/>
    <s v="Divya Kumar"/>
    <x v="5"/>
    <s v="F"/>
    <x v="2"/>
    <x v="4"/>
    <x v="3"/>
    <x v="51"/>
    <x v="2"/>
    <x v="0"/>
    <s v="Hospital Desk"/>
    <s v="Cancelled"/>
    <n v="9"/>
    <x v="4"/>
    <n v="0"/>
    <s v="Yes"/>
    <x v="1"/>
    <x v="2"/>
    <n v="2.73"/>
  </r>
  <r>
    <s v="AYH-086"/>
    <d v="2025-05-27T00:00:00"/>
    <s v="Arjun Joshi"/>
    <x v="32"/>
    <s v="F"/>
    <x v="0"/>
    <x v="0"/>
    <x v="10"/>
    <x v="52"/>
    <x v="6"/>
    <x v="0"/>
    <s v="Hospital Desk"/>
    <s v="Completed"/>
    <n v="12"/>
    <x v="27"/>
    <n v="649"/>
    <s v="No"/>
    <x v="1"/>
    <x v="2"/>
    <n v="3.1"/>
  </r>
  <r>
    <s v="AYH-087"/>
    <d v="2025-05-17T00:00:00"/>
    <s v="Lata Joshi"/>
    <x v="7"/>
    <s v="F"/>
    <x v="1"/>
    <x v="1"/>
    <x v="8"/>
    <x v="39"/>
    <x v="1"/>
    <x v="1"/>
    <s v="Hospital Desk"/>
    <s v="Cancelled"/>
    <n v="12"/>
    <x v="4"/>
    <n v="0"/>
    <s v="No"/>
    <x v="0"/>
    <x v="1"/>
    <n v="2.73"/>
  </r>
  <r>
    <s v="AYH-088"/>
    <d v="2025-05-12T00:00:00"/>
    <s v="Aamir Kumar"/>
    <x v="3"/>
    <s v="M"/>
    <x v="2"/>
    <x v="4"/>
    <x v="9"/>
    <x v="53"/>
    <x v="1"/>
    <x v="2"/>
    <s v="SMS"/>
    <s v="Completed"/>
    <n v="16"/>
    <x v="34"/>
    <n v="1106"/>
    <s v="No"/>
    <x v="0"/>
    <x v="0"/>
    <n v="3.5"/>
  </r>
  <r>
    <s v="AYH-089"/>
    <d v="2025-05-30T00:00:00"/>
    <s v="Meena Bora"/>
    <x v="0"/>
    <s v="F"/>
    <x v="2"/>
    <x v="8"/>
    <x v="3"/>
    <x v="0"/>
    <x v="5"/>
    <x v="1"/>
    <s v="SMS"/>
    <s v="No-Show"/>
    <n v="11"/>
    <x v="4"/>
    <n v="0"/>
    <s v="Yes"/>
    <x v="0"/>
    <x v="2"/>
    <n v="2.73"/>
  </r>
  <r>
    <s v="AYH-090"/>
    <d v="2025-05-29T00:00:00"/>
    <s v="Tanya Nair"/>
    <x v="42"/>
    <s v="M"/>
    <x v="2"/>
    <x v="8"/>
    <x v="6"/>
    <x v="17"/>
    <x v="5"/>
    <x v="2"/>
    <s v="App"/>
    <s v="Completed"/>
    <n v="25"/>
    <x v="15"/>
    <n v="959"/>
    <s v="No"/>
    <x v="0"/>
    <x v="2"/>
    <n v="3.2"/>
  </r>
  <r>
    <s v="AYH-091"/>
    <d v="2025-05-11T00:00:00"/>
    <s v="Priyanka Ghosh"/>
    <x v="21"/>
    <s v="F"/>
    <x v="1"/>
    <x v="5"/>
    <x v="4"/>
    <x v="54"/>
    <x v="5"/>
    <x v="1"/>
    <s v="SMS"/>
    <s v="Cancelled"/>
    <n v="7"/>
    <x v="4"/>
    <n v="0"/>
    <s v="No"/>
    <x v="1"/>
    <x v="1"/>
    <n v="2.73"/>
  </r>
  <r>
    <s v="AYH-092"/>
    <d v="2025-05-17T00:00:00"/>
    <s v="Tanya Bora"/>
    <x v="16"/>
    <s v="F"/>
    <x v="0"/>
    <x v="0"/>
    <x v="10"/>
    <x v="55"/>
    <x v="0"/>
    <x v="2"/>
    <s v="SMS"/>
    <s v="Completed"/>
    <n v="6"/>
    <x v="33"/>
    <n v="1290"/>
    <s v="No"/>
    <x v="0"/>
    <x v="2"/>
    <n v="3.5"/>
  </r>
  <r>
    <s v="AYH-093"/>
    <d v="2025-05-15T00:00:00"/>
    <s v="Rohit Bora"/>
    <x v="43"/>
    <s v="M"/>
    <x v="3"/>
    <x v="9"/>
    <x v="5"/>
    <x v="56"/>
    <x v="5"/>
    <x v="0"/>
    <s v="App"/>
    <s v="Cancelled"/>
    <n v="24"/>
    <x v="4"/>
    <n v="0"/>
    <s v="No"/>
    <x v="0"/>
    <x v="0"/>
    <n v="2.73"/>
  </r>
  <r>
    <s v="AYH-094"/>
    <d v="2025-05-07T00:00:00"/>
    <s v="Pradeep Nair"/>
    <x v="33"/>
    <s v="M"/>
    <x v="0"/>
    <x v="6"/>
    <x v="2"/>
    <x v="57"/>
    <x v="2"/>
    <x v="2"/>
    <s v="SMS"/>
    <s v="Completed"/>
    <n v="20"/>
    <x v="35"/>
    <n v="1192"/>
    <s v="Yes"/>
    <x v="0"/>
    <x v="2"/>
    <n v="4.8"/>
  </r>
  <r>
    <s v="AYH-095"/>
    <d v="2025-05-26T00:00:00"/>
    <s v="Lata Patel"/>
    <x v="9"/>
    <s v="F"/>
    <x v="2"/>
    <x v="8"/>
    <x v="6"/>
    <x v="58"/>
    <x v="6"/>
    <x v="0"/>
    <s v="App"/>
    <s v="Completed"/>
    <n v="16"/>
    <x v="25"/>
    <n v="532"/>
    <s v="No"/>
    <x v="1"/>
    <x v="2"/>
    <n v="4.0999999999999996"/>
  </r>
  <r>
    <s v="AYH-096"/>
    <d v="2025-05-03T00:00:00"/>
    <s v="Farhan Das"/>
    <x v="41"/>
    <s v="M"/>
    <x v="2"/>
    <x v="8"/>
    <x v="3"/>
    <x v="32"/>
    <x v="4"/>
    <x v="0"/>
    <s v="App"/>
    <s v="Completed"/>
    <n v="24"/>
    <x v="2"/>
    <n v="534"/>
    <s v="No"/>
    <x v="0"/>
    <x v="0"/>
    <n v="3.6"/>
  </r>
  <r>
    <s v="AYH-097"/>
    <d v="2025-05-06T00:00:00"/>
    <s v="Sneha Patel"/>
    <x v="32"/>
    <s v="M"/>
    <x v="3"/>
    <x v="11"/>
    <x v="11"/>
    <x v="21"/>
    <x v="4"/>
    <x v="2"/>
    <s v="SMS"/>
    <s v="Completed"/>
    <n v="18"/>
    <x v="31"/>
    <n v="513"/>
    <s v="Yes"/>
    <x v="0"/>
    <x v="2"/>
    <n v="4.7"/>
  </r>
  <r>
    <s v="AYH-098"/>
    <d v="2025-05-24T00:00:00"/>
    <s v="Lata Das"/>
    <x v="4"/>
    <s v="F"/>
    <x v="2"/>
    <x v="8"/>
    <x v="3"/>
    <x v="59"/>
    <x v="2"/>
    <x v="1"/>
    <s v="SMS"/>
    <s v="Completed"/>
    <n v="24"/>
    <x v="7"/>
    <n v="591"/>
    <s v="No"/>
    <x v="1"/>
    <x v="2"/>
    <n v="4"/>
  </r>
  <r>
    <s v="AYH-099"/>
    <d v="2025-05-21T00:00:00"/>
    <s v="Priyanka Ghosh"/>
    <x v="32"/>
    <s v="F"/>
    <x v="2"/>
    <x v="8"/>
    <x v="3"/>
    <x v="49"/>
    <x v="1"/>
    <x v="0"/>
    <s v="App"/>
    <s v="Cancelled"/>
    <n v="24"/>
    <x v="4"/>
    <n v="0"/>
    <s v="No"/>
    <x v="1"/>
    <x v="2"/>
    <n v="2.73"/>
  </r>
  <r>
    <s v="AYH-100"/>
    <d v="2025-05-05T00:00:00"/>
    <s v="Rohit Rana"/>
    <x v="46"/>
    <s v="F"/>
    <x v="2"/>
    <x v="3"/>
    <x v="3"/>
    <x v="50"/>
    <x v="7"/>
    <x v="2"/>
    <s v="SMS"/>
    <s v="Completed"/>
    <n v="19"/>
    <x v="0"/>
    <n v="1096"/>
    <s v="No"/>
    <x v="0"/>
    <x v="0"/>
    <n v="4.2"/>
  </r>
  <r>
    <s v="AYH-101"/>
    <d v="2025-05-30T00:00:00"/>
    <s v="Lata Bora"/>
    <x v="10"/>
    <s v="M"/>
    <x v="2"/>
    <x v="8"/>
    <x v="9"/>
    <x v="60"/>
    <x v="4"/>
    <x v="2"/>
    <s v="App"/>
    <s v="Completed"/>
    <n v="6"/>
    <x v="11"/>
    <n v="1186"/>
    <s v="Yes"/>
    <x v="0"/>
    <x v="1"/>
    <n v="4.7"/>
  </r>
  <r>
    <s v="AYH-102"/>
    <d v="2025-05-10T00:00:00"/>
    <s v="Divya Nair"/>
    <x v="38"/>
    <s v="F"/>
    <x v="2"/>
    <x v="4"/>
    <x v="3"/>
    <x v="14"/>
    <x v="5"/>
    <x v="1"/>
    <s v="SMS"/>
    <s v="Completed"/>
    <n v="12"/>
    <x v="0"/>
    <n v="1122"/>
    <s v="Yes"/>
    <x v="1"/>
    <x v="1"/>
    <n v="3.1"/>
  </r>
  <r>
    <s v="AYH-103"/>
    <d v="2025-05-15T00:00:00"/>
    <s v="Tanya Shah"/>
    <x v="38"/>
    <s v="M"/>
    <x v="0"/>
    <x v="0"/>
    <x v="10"/>
    <x v="30"/>
    <x v="3"/>
    <x v="2"/>
    <s v="Hospital Desk"/>
    <s v="Completed"/>
    <n v="23"/>
    <x v="22"/>
    <n v="798"/>
    <s v="Yes"/>
    <x v="0"/>
    <x v="1"/>
    <n v="3.7"/>
  </r>
  <r>
    <s v="AYH-104"/>
    <d v="2025-05-02T00:00:00"/>
    <s v="Suresh Kumar"/>
    <x v="47"/>
    <s v="M"/>
    <x v="2"/>
    <x v="8"/>
    <x v="9"/>
    <x v="39"/>
    <x v="4"/>
    <x v="0"/>
    <s v="App"/>
    <s v="Cancelled"/>
    <n v="11"/>
    <x v="4"/>
    <n v="0"/>
    <s v="No"/>
    <x v="0"/>
    <x v="1"/>
    <n v="2.73"/>
  </r>
  <r>
    <s v="AYH-105"/>
    <d v="2025-05-16T00:00:00"/>
    <s v="Alok Ghosh"/>
    <x v="48"/>
    <s v="F"/>
    <x v="0"/>
    <x v="0"/>
    <x v="0"/>
    <x v="23"/>
    <x v="2"/>
    <x v="2"/>
    <s v="Hospital Desk"/>
    <s v="Completed"/>
    <n v="10"/>
    <x v="29"/>
    <n v="1012"/>
    <s v="Yes"/>
    <x v="0"/>
    <x v="1"/>
    <n v="4.2"/>
  </r>
  <r>
    <s v="AYH-106"/>
    <d v="2025-05-16T00:00:00"/>
    <s v="Meena Das"/>
    <x v="6"/>
    <s v="F"/>
    <x v="0"/>
    <x v="2"/>
    <x v="10"/>
    <x v="46"/>
    <x v="4"/>
    <x v="2"/>
    <s v="Hospital Desk"/>
    <s v="No-Show"/>
    <n v="13"/>
    <x v="4"/>
    <n v="0"/>
    <s v="Yes"/>
    <x v="0"/>
    <x v="1"/>
    <n v="2.73"/>
  </r>
  <r>
    <s v="AYH-107"/>
    <d v="2025-05-30T00:00:00"/>
    <s v="Suresh Das"/>
    <x v="33"/>
    <s v="F"/>
    <x v="3"/>
    <x v="7"/>
    <x v="11"/>
    <x v="61"/>
    <x v="7"/>
    <x v="0"/>
    <s v="Hospital Desk"/>
    <s v="Completed"/>
    <n v="15"/>
    <x v="26"/>
    <n v="710"/>
    <s v="Yes"/>
    <x v="1"/>
    <x v="0"/>
    <n v="3.8"/>
  </r>
  <r>
    <s v="AYH-108"/>
    <d v="2025-05-09T00:00:00"/>
    <s v="Sunil Ali"/>
    <x v="48"/>
    <s v="M"/>
    <x v="1"/>
    <x v="1"/>
    <x v="8"/>
    <x v="14"/>
    <x v="1"/>
    <x v="1"/>
    <s v="App"/>
    <s v="Completed"/>
    <n v="19"/>
    <x v="7"/>
    <n v="1101"/>
    <s v="No"/>
    <x v="0"/>
    <x v="1"/>
    <n v="4.0999999999999996"/>
  </r>
  <r>
    <s v="AYH-109"/>
    <d v="2025-05-02T00:00:00"/>
    <s v="Aamir Ghosh"/>
    <x v="25"/>
    <s v="F"/>
    <x v="2"/>
    <x v="4"/>
    <x v="6"/>
    <x v="7"/>
    <x v="0"/>
    <x v="1"/>
    <s v="App"/>
    <s v="Completed"/>
    <n v="14"/>
    <x v="36"/>
    <n v="1177"/>
    <s v="No"/>
    <x v="0"/>
    <x v="2"/>
    <n v="4.8"/>
  </r>
  <r>
    <s v="AYH-110"/>
    <d v="2025-05-22T00:00:00"/>
    <s v="Kavita Kumar"/>
    <x v="39"/>
    <s v="F"/>
    <x v="2"/>
    <x v="8"/>
    <x v="3"/>
    <x v="46"/>
    <x v="2"/>
    <x v="2"/>
    <s v="Hospital Desk"/>
    <s v="Completed"/>
    <n v="22"/>
    <x v="20"/>
    <n v="956"/>
    <s v="Yes"/>
    <x v="0"/>
    <x v="0"/>
    <n v="3.3"/>
  </r>
  <r>
    <s v="AYH-111"/>
    <d v="2025-05-21T00:00:00"/>
    <s v="Vikas Ghosh"/>
    <x v="25"/>
    <s v="M"/>
    <x v="3"/>
    <x v="7"/>
    <x v="5"/>
    <x v="24"/>
    <x v="1"/>
    <x v="0"/>
    <s v="SMS"/>
    <s v="Completed"/>
    <n v="18"/>
    <x v="32"/>
    <n v="1374"/>
    <s v="Yes"/>
    <x v="1"/>
    <x v="1"/>
    <n v="4"/>
  </r>
  <r>
    <s v="AYH-112"/>
    <d v="2025-05-29T00:00:00"/>
    <s v="Lata Ghosh"/>
    <x v="13"/>
    <s v="M"/>
    <x v="0"/>
    <x v="0"/>
    <x v="0"/>
    <x v="52"/>
    <x v="6"/>
    <x v="1"/>
    <s v="Hospital Desk"/>
    <s v="In Progress"/>
    <n v="6"/>
    <x v="4"/>
    <n v="0"/>
    <s v="Yes"/>
    <x v="0"/>
    <x v="2"/>
    <n v="2.73"/>
  </r>
  <r>
    <s v="AYH-113"/>
    <d v="2025-05-21T00:00:00"/>
    <s v="Lata Nair"/>
    <x v="13"/>
    <s v="M"/>
    <x v="0"/>
    <x v="0"/>
    <x v="10"/>
    <x v="53"/>
    <x v="4"/>
    <x v="2"/>
    <s v="SMS"/>
    <s v="Completed"/>
    <n v="21"/>
    <x v="30"/>
    <n v="958"/>
    <s v="No"/>
    <x v="0"/>
    <x v="1"/>
    <n v="3.4"/>
  </r>
  <r>
    <s v="AYH-114"/>
    <d v="2025-05-11T00:00:00"/>
    <s v="Aamir Nair"/>
    <x v="49"/>
    <s v="F"/>
    <x v="2"/>
    <x v="8"/>
    <x v="3"/>
    <x v="36"/>
    <x v="1"/>
    <x v="1"/>
    <s v="SMS"/>
    <s v="Completed"/>
    <n v="18"/>
    <x v="31"/>
    <n v="1071"/>
    <s v="Yes"/>
    <x v="1"/>
    <x v="2"/>
    <n v="3.2"/>
  </r>
  <r>
    <s v="AYH-115"/>
    <d v="2025-05-06T00:00:00"/>
    <s v="Geeta Ghosh"/>
    <x v="3"/>
    <s v="F"/>
    <x v="3"/>
    <x v="9"/>
    <x v="7"/>
    <x v="55"/>
    <x v="7"/>
    <x v="0"/>
    <s v="SMS"/>
    <s v="In Progress"/>
    <n v="12"/>
    <x v="4"/>
    <n v="0"/>
    <s v="No"/>
    <x v="1"/>
    <x v="2"/>
    <n v="2.73"/>
  </r>
  <r>
    <s v="AYH-116"/>
    <d v="2025-05-14T00:00:00"/>
    <s v="Divya Bora"/>
    <x v="18"/>
    <s v="M"/>
    <x v="1"/>
    <x v="1"/>
    <x v="8"/>
    <x v="56"/>
    <x v="0"/>
    <x v="1"/>
    <s v="App"/>
    <s v="In Progress"/>
    <n v="20"/>
    <x v="4"/>
    <n v="0"/>
    <s v="No"/>
    <x v="1"/>
    <x v="2"/>
    <n v="2.73"/>
  </r>
  <r>
    <s v="AYH-117"/>
    <d v="2025-05-29T00:00:00"/>
    <s v="Meena Shah"/>
    <x v="50"/>
    <s v="F"/>
    <x v="1"/>
    <x v="1"/>
    <x v="8"/>
    <x v="62"/>
    <x v="6"/>
    <x v="0"/>
    <s v="Hospital Desk"/>
    <s v="No-Show"/>
    <n v="7"/>
    <x v="4"/>
    <n v="0"/>
    <s v="Yes"/>
    <x v="0"/>
    <x v="2"/>
    <n v="2.73"/>
  </r>
  <r>
    <s v="AYH-118"/>
    <d v="2025-05-22T00:00:00"/>
    <s v="Priyanka Nair"/>
    <x v="31"/>
    <s v="F"/>
    <x v="3"/>
    <x v="7"/>
    <x v="11"/>
    <x v="5"/>
    <x v="3"/>
    <x v="0"/>
    <s v="SMS"/>
    <s v="Completed"/>
    <n v="6"/>
    <x v="30"/>
    <n v="670"/>
    <s v="Yes"/>
    <x v="0"/>
    <x v="2"/>
    <n v="4"/>
  </r>
  <r>
    <s v="AYH-119"/>
    <d v="2025-05-14T00:00:00"/>
    <s v="Meena Ghosh"/>
    <x v="24"/>
    <s v="F"/>
    <x v="2"/>
    <x v="8"/>
    <x v="3"/>
    <x v="44"/>
    <x v="7"/>
    <x v="2"/>
    <s v="App"/>
    <s v="Completed"/>
    <n v="7"/>
    <x v="7"/>
    <n v="523"/>
    <s v="Yes"/>
    <x v="0"/>
    <x v="2"/>
    <n v="4.9000000000000004"/>
  </r>
  <r>
    <s v="AYH-120"/>
    <d v="2025-05-18T00:00:00"/>
    <s v="Nisha Patel"/>
    <x v="43"/>
    <s v="M"/>
    <x v="3"/>
    <x v="9"/>
    <x v="11"/>
    <x v="63"/>
    <x v="7"/>
    <x v="2"/>
    <s v="SMS"/>
    <s v="In Progress"/>
    <n v="22"/>
    <x v="4"/>
    <n v="0"/>
    <s v="No"/>
    <x v="0"/>
    <x v="1"/>
    <n v="2.73"/>
  </r>
  <r>
    <s v="AYH-121"/>
    <d v="2025-05-20T00:00:00"/>
    <s v="Meena Rana"/>
    <x v="39"/>
    <s v="M"/>
    <x v="1"/>
    <x v="1"/>
    <x v="4"/>
    <x v="9"/>
    <x v="6"/>
    <x v="0"/>
    <s v="App"/>
    <s v="Completed"/>
    <n v="12"/>
    <x v="30"/>
    <n v="1108"/>
    <s v="No"/>
    <x v="0"/>
    <x v="2"/>
    <n v="3.3"/>
  </r>
  <r>
    <s v="AYH-122"/>
    <d v="2025-05-08T00:00:00"/>
    <s v="Suresh Ghosh"/>
    <x v="30"/>
    <s v="M"/>
    <x v="0"/>
    <x v="0"/>
    <x v="2"/>
    <x v="38"/>
    <x v="4"/>
    <x v="0"/>
    <s v="Hospital Desk"/>
    <s v="Completed"/>
    <n v="17"/>
    <x v="12"/>
    <n v="879"/>
    <s v="Yes"/>
    <x v="1"/>
    <x v="0"/>
    <n v="4.0999999999999996"/>
  </r>
  <r>
    <s v="AYH-123"/>
    <d v="2025-05-16T00:00:00"/>
    <s v="Farhan Shah"/>
    <x v="26"/>
    <s v="F"/>
    <x v="2"/>
    <x v="8"/>
    <x v="9"/>
    <x v="21"/>
    <x v="2"/>
    <x v="0"/>
    <s v="SMS"/>
    <s v="In Progress"/>
    <n v="6"/>
    <x v="4"/>
    <n v="0"/>
    <s v="Yes"/>
    <x v="0"/>
    <x v="2"/>
    <n v="2.73"/>
  </r>
  <r>
    <s v="AYH-124"/>
    <d v="2025-05-14T00:00:00"/>
    <s v="Meena Shah"/>
    <x v="40"/>
    <s v="F"/>
    <x v="0"/>
    <x v="2"/>
    <x v="0"/>
    <x v="56"/>
    <x v="7"/>
    <x v="1"/>
    <s v="SMS"/>
    <s v="Completed"/>
    <n v="12"/>
    <x v="18"/>
    <n v="1015"/>
    <s v="No"/>
    <x v="0"/>
    <x v="2"/>
    <n v="4.7"/>
  </r>
  <r>
    <s v="AYH-125"/>
    <d v="2025-05-26T00:00:00"/>
    <s v="Arjun Ali"/>
    <x v="35"/>
    <s v="F"/>
    <x v="1"/>
    <x v="1"/>
    <x v="8"/>
    <x v="27"/>
    <x v="3"/>
    <x v="2"/>
    <s v="App"/>
    <s v="Completed"/>
    <n v="7"/>
    <x v="7"/>
    <n v="790"/>
    <s v="Yes"/>
    <x v="0"/>
    <x v="0"/>
    <n v="3.1"/>
  </r>
  <r>
    <s v="AYH-126"/>
    <d v="2025-05-15T00:00:00"/>
    <s v="Sneha Rana"/>
    <x v="30"/>
    <s v="F"/>
    <x v="3"/>
    <x v="11"/>
    <x v="5"/>
    <x v="15"/>
    <x v="2"/>
    <x v="2"/>
    <s v="App"/>
    <s v="Completed"/>
    <n v="12"/>
    <x v="20"/>
    <n v="818"/>
    <s v="Yes"/>
    <x v="0"/>
    <x v="0"/>
    <n v="3.8"/>
  </r>
  <r>
    <s v="AYH-127"/>
    <d v="2025-05-24T00:00:00"/>
    <s v="Alok Ali"/>
    <x v="27"/>
    <s v="F"/>
    <x v="2"/>
    <x v="3"/>
    <x v="6"/>
    <x v="27"/>
    <x v="2"/>
    <x v="1"/>
    <s v="SMS"/>
    <s v="No-Show"/>
    <n v="15"/>
    <x v="4"/>
    <n v="0"/>
    <s v="No"/>
    <x v="0"/>
    <x v="1"/>
    <n v="2.73"/>
  </r>
  <r>
    <s v="AYH-128"/>
    <d v="2025-05-16T00:00:00"/>
    <s v="Aamir Shah"/>
    <x v="51"/>
    <s v="F"/>
    <x v="3"/>
    <x v="9"/>
    <x v="7"/>
    <x v="29"/>
    <x v="7"/>
    <x v="2"/>
    <s v="App"/>
    <s v="Completed"/>
    <n v="13"/>
    <x v="23"/>
    <n v="1404"/>
    <s v="Yes"/>
    <x v="0"/>
    <x v="0"/>
    <n v="3.9"/>
  </r>
  <r>
    <s v="AYH-129"/>
    <d v="2025-05-12T00:00:00"/>
    <s v="Suresh Nair"/>
    <x v="46"/>
    <s v="M"/>
    <x v="3"/>
    <x v="7"/>
    <x v="11"/>
    <x v="0"/>
    <x v="1"/>
    <x v="1"/>
    <s v="App"/>
    <s v="Completed"/>
    <n v="25"/>
    <x v="18"/>
    <n v="539"/>
    <s v="Yes"/>
    <x v="1"/>
    <x v="2"/>
    <n v="4.4000000000000004"/>
  </r>
  <r>
    <s v="AYH-130"/>
    <d v="2025-05-17T00:00:00"/>
    <s v="Nisha Joshi"/>
    <x v="33"/>
    <s v="F"/>
    <x v="0"/>
    <x v="6"/>
    <x v="0"/>
    <x v="54"/>
    <x v="5"/>
    <x v="1"/>
    <s v="SMS"/>
    <s v="Completed"/>
    <n v="22"/>
    <x v="11"/>
    <n v="435"/>
    <s v="No"/>
    <x v="1"/>
    <x v="0"/>
    <n v="4"/>
  </r>
  <r>
    <s v="AYH-131"/>
    <d v="2025-05-13T00:00:00"/>
    <s v="Tanya Rana"/>
    <x v="41"/>
    <s v="M"/>
    <x v="3"/>
    <x v="9"/>
    <x v="5"/>
    <x v="55"/>
    <x v="0"/>
    <x v="2"/>
    <s v="SMS"/>
    <s v="Completed"/>
    <n v="12"/>
    <x v="27"/>
    <n v="565"/>
    <s v="No"/>
    <x v="0"/>
    <x v="2"/>
    <n v="4.3"/>
  </r>
  <r>
    <s v="AYH-132"/>
    <d v="2025-05-30T00:00:00"/>
    <s v="Pradeep Kumar"/>
    <x v="15"/>
    <s v="M"/>
    <x v="1"/>
    <x v="10"/>
    <x v="8"/>
    <x v="41"/>
    <x v="1"/>
    <x v="1"/>
    <s v="App"/>
    <s v="No-Show"/>
    <n v="12"/>
    <x v="4"/>
    <n v="0"/>
    <s v="No"/>
    <x v="1"/>
    <x v="0"/>
    <n v="2.73"/>
  </r>
  <r>
    <s v="AYH-133"/>
    <d v="2025-05-26T00:00:00"/>
    <s v="Tanya Patel"/>
    <x v="11"/>
    <s v="F"/>
    <x v="0"/>
    <x v="6"/>
    <x v="10"/>
    <x v="7"/>
    <x v="1"/>
    <x v="0"/>
    <s v="SMS"/>
    <s v="Completed"/>
    <n v="10"/>
    <x v="37"/>
    <n v="892"/>
    <s v="Yes"/>
    <x v="0"/>
    <x v="0"/>
    <n v="4.0999999999999996"/>
  </r>
  <r>
    <s v="AYH-134"/>
    <d v="2025-05-12T00:00:00"/>
    <s v="Rekha Ali"/>
    <x v="32"/>
    <s v="F"/>
    <x v="0"/>
    <x v="6"/>
    <x v="0"/>
    <x v="14"/>
    <x v="2"/>
    <x v="0"/>
    <s v="App"/>
    <s v="No-Show"/>
    <n v="5"/>
    <x v="4"/>
    <n v="0"/>
    <s v="No"/>
    <x v="0"/>
    <x v="1"/>
    <n v="2.73"/>
  </r>
  <r>
    <s v="AYH-135"/>
    <d v="2025-05-01T00:00:00"/>
    <s v="Nisha Joshi"/>
    <x v="14"/>
    <s v="M"/>
    <x v="1"/>
    <x v="5"/>
    <x v="4"/>
    <x v="50"/>
    <x v="7"/>
    <x v="0"/>
    <s v="Hospital Desk"/>
    <s v="Completed"/>
    <n v="17"/>
    <x v="25"/>
    <n v="715"/>
    <s v="Yes"/>
    <x v="1"/>
    <x v="0"/>
    <n v="4.5"/>
  </r>
  <r>
    <s v="AYH-136"/>
    <d v="2025-05-14T00:00:00"/>
    <s v="Ravi Ghosh"/>
    <x v="33"/>
    <s v="M"/>
    <x v="2"/>
    <x v="3"/>
    <x v="6"/>
    <x v="17"/>
    <x v="0"/>
    <x v="0"/>
    <s v="App"/>
    <s v="Completed"/>
    <n v="16"/>
    <x v="22"/>
    <n v="590"/>
    <s v="No"/>
    <x v="1"/>
    <x v="0"/>
    <n v="4.2"/>
  </r>
  <r>
    <s v="AYH-137"/>
    <d v="2025-05-26T00:00:00"/>
    <s v="Sneha Nair"/>
    <x v="26"/>
    <s v="F"/>
    <x v="1"/>
    <x v="10"/>
    <x v="8"/>
    <x v="64"/>
    <x v="6"/>
    <x v="1"/>
    <s v="Hospital Desk"/>
    <s v="Completed"/>
    <n v="20"/>
    <x v="24"/>
    <n v="529"/>
    <s v="Yes"/>
    <x v="0"/>
    <x v="0"/>
    <n v="3.3"/>
  </r>
  <r>
    <s v="AYH-138"/>
    <d v="2025-05-14T00:00:00"/>
    <s v="Geeta Bora"/>
    <x v="44"/>
    <s v="F"/>
    <x v="0"/>
    <x v="2"/>
    <x v="10"/>
    <x v="7"/>
    <x v="6"/>
    <x v="1"/>
    <s v="Hospital Desk"/>
    <s v="Completed"/>
    <n v="5"/>
    <x v="29"/>
    <n v="1080"/>
    <s v="No"/>
    <x v="1"/>
    <x v="1"/>
    <n v="4.7"/>
  </r>
  <r>
    <s v="AYH-139"/>
    <d v="2025-05-07T00:00:00"/>
    <s v="Nisha Das"/>
    <x v="5"/>
    <s v="F"/>
    <x v="3"/>
    <x v="11"/>
    <x v="7"/>
    <x v="7"/>
    <x v="6"/>
    <x v="2"/>
    <s v="SMS"/>
    <s v="Completed"/>
    <n v="23"/>
    <x v="38"/>
    <n v="1067"/>
    <s v="No"/>
    <x v="0"/>
    <x v="0"/>
    <n v="3.8"/>
  </r>
  <r>
    <s v="AYH-140"/>
    <d v="2025-05-15T00:00:00"/>
    <s v="Tanya Joshi"/>
    <x v="39"/>
    <s v="F"/>
    <x v="3"/>
    <x v="7"/>
    <x v="11"/>
    <x v="10"/>
    <x v="1"/>
    <x v="1"/>
    <s v="SMS"/>
    <s v="Completed"/>
    <n v="20"/>
    <x v="21"/>
    <n v="1020"/>
    <s v="No"/>
    <x v="1"/>
    <x v="2"/>
    <n v="3.5"/>
  </r>
  <r>
    <s v="AYH-141"/>
    <d v="2025-05-01T00:00:00"/>
    <s v="Farhan Joshi"/>
    <x v="32"/>
    <s v="M"/>
    <x v="1"/>
    <x v="1"/>
    <x v="1"/>
    <x v="7"/>
    <x v="7"/>
    <x v="1"/>
    <s v="App"/>
    <s v="Completed"/>
    <n v="16"/>
    <x v="39"/>
    <n v="490"/>
    <s v="Yes"/>
    <x v="1"/>
    <x v="2"/>
    <n v="4.0999999999999996"/>
  </r>
  <r>
    <s v="AYH-142"/>
    <d v="2025-05-04T00:00:00"/>
    <s v="Farhan Joshi"/>
    <x v="16"/>
    <s v="M"/>
    <x v="0"/>
    <x v="2"/>
    <x v="2"/>
    <x v="57"/>
    <x v="6"/>
    <x v="2"/>
    <s v="SMS"/>
    <s v="Cancelled"/>
    <n v="20"/>
    <x v="4"/>
    <n v="0"/>
    <s v="Yes"/>
    <x v="0"/>
    <x v="1"/>
    <n v="2.73"/>
  </r>
  <r>
    <s v="AYH-143"/>
    <d v="2025-05-22T00:00:00"/>
    <s v="Vikas Joshi"/>
    <x v="35"/>
    <s v="F"/>
    <x v="3"/>
    <x v="11"/>
    <x v="7"/>
    <x v="48"/>
    <x v="2"/>
    <x v="2"/>
    <s v="App"/>
    <s v="Completed"/>
    <n v="15"/>
    <x v="34"/>
    <n v="1014"/>
    <s v="Yes"/>
    <x v="0"/>
    <x v="1"/>
    <n v="3.1"/>
  </r>
  <r>
    <s v="AYH-144"/>
    <d v="2025-05-29T00:00:00"/>
    <s v="Ravi Das"/>
    <x v="9"/>
    <s v="F"/>
    <x v="3"/>
    <x v="7"/>
    <x v="5"/>
    <x v="26"/>
    <x v="3"/>
    <x v="1"/>
    <s v="App"/>
    <s v="Completed"/>
    <n v="25"/>
    <x v="40"/>
    <n v="781"/>
    <s v="No"/>
    <x v="1"/>
    <x v="1"/>
    <n v="4.3"/>
  </r>
  <r>
    <s v="AYH-145"/>
    <d v="2025-05-17T00:00:00"/>
    <s v="Pradeep Nair"/>
    <x v="29"/>
    <s v="M"/>
    <x v="3"/>
    <x v="11"/>
    <x v="11"/>
    <x v="22"/>
    <x v="7"/>
    <x v="2"/>
    <s v="App"/>
    <s v="Completed"/>
    <n v="22"/>
    <x v="40"/>
    <n v="1149"/>
    <s v="Yes"/>
    <x v="0"/>
    <x v="2"/>
    <n v="3.7"/>
  </r>
  <r>
    <s v="AYH-146"/>
    <d v="2025-05-04T00:00:00"/>
    <s v="Kavita Ghosh"/>
    <x v="49"/>
    <s v="M"/>
    <x v="2"/>
    <x v="8"/>
    <x v="6"/>
    <x v="65"/>
    <x v="7"/>
    <x v="1"/>
    <s v="App"/>
    <s v="No-Show"/>
    <n v="9"/>
    <x v="4"/>
    <n v="0"/>
    <s v="Yes"/>
    <x v="0"/>
    <x v="1"/>
    <n v="2.73"/>
  </r>
  <r>
    <s v="AYH-147"/>
    <d v="2025-05-11T00:00:00"/>
    <s v="Aamir Patel"/>
    <x v="40"/>
    <s v="F"/>
    <x v="3"/>
    <x v="11"/>
    <x v="11"/>
    <x v="66"/>
    <x v="3"/>
    <x v="1"/>
    <s v="SMS"/>
    <s v="Completed"/>
    <n v="25"/>
    <x v="7"/>
    <n v="754"/>
    <s v="No"/>
    <x v="0"/>
    <x v="1"/>
    <n v="4.0999999999999996"/>
  </r>
  <r>
    <s v="AYH-148"/>
    <d v="2025-05-19T00:00:00"/>
    <s v="Lata Joshi"/>
    <x v="36"/>
    <s v="F"/>
    <x v="1"/>
    <x v="1"/>
    <x v="4"/>
    <x v="51"/>
    <x v="2"/>
    <x v="0"/>
    <s v="SMS"/>
    <s v="No-Show"/>
    <n v="18"/>
    <x v="4"/>
    <n v="0"/>
    <s v="No"/>
    <x v="0"/>
    <x v="0"/>
    <n v="2.73"/>
  </r>
  <r>
    <s v="AYH-149"/>
    <d v="2025-05-25T00:00:00"/>
    <s v="Priyanka Kumar"/>
    <x v="29"/>
    <s v="F"/>
    <x v="0"/>
    <x v="0"/>
    <x v="10"/>
    <x v="47"/>
    <x v="1"/>
    <x v="2"/>
    <s v="App"/>
    <s v="Completed"/>
    <n v="22"/>
    <x v="31"/>
    <n v="631"/>
    <s v="No"/>
    <x v="0"/>
    <x v="1"/>
    <n v="4.0999999999999996"/>
  </r>
  <r>
    <s v="AYH-150"/>
    <d v="2025-05-07T00:00:00"/>
    <s v="Nisha Ali"/>
    <x v="35"/>
    <s v="F"/>
    <x v="1"/>
    <x v="1"/>
    <x v="4"/>
    <x v="44"/>
    <x v="7"/>
    <x v="0"/>
    <s v="Hospital Desk"/>
    <s v="Cancelled"/>
    <n v="16"/>
    <x v="4"/>
    <n v="0"/>
    <s v="No"/>
    <x v="1"/>
    <x v="2"/>
    <n v="2.73"/>
  </r>
  <r>
    <s v="AYH-151"/>
    <d v="2025-05-31T00:00:00"/>
    <s v="Alok Ghosh"/>
    <x v="29"/>
    <s v="F"/>
    <x v="2"/>
    <x v="8"/>
    <x v="9"/>
    <x v="58"/>
    <x v="7"/>
    <x v="0"/>
    <s v="Hospital Desk"/>
    <s v="Completed"/>
    <n v="22"/>
    <x v="3"/>
    <n v="744"/>
    <s v="Yes"/>
    <x v="1"/>
    <x v="0"/>
    <n v="3.6"/>
  </r>
  <r>
    <s v="AYH-152"/>
    <d v="2025-05-21T00:00:00"/>
    <s v="Aamir Das"/>
    <x v="10"/>
    <s v="F"/>
    <x v="0"/>
    <x v="0"/>
    <x v="10"/>
    <x v="52"/>
    <x v="1"/>
    <x v="2"/>
    <s v="Hospital Desk"/>
    <s v="No-Show"/>
    <n v="12"/>
    <x v="4"/>
    <n v="0"/>
    <s v="Yes"/>
    <x v="0"/>
    <x v="0"/>
    <n v="2.73"/>
  </r>
  <r>
    <s v="AYH-153"/>
    <d v="2025-05-01T00:00:00"/>
    <s v="Vikas Das"/>
    <x v="38"/>
    <s v="F"/>
    <x v="2"/>
    <x v="8"/>
    <x v="6"/>
    <x v="51"/>
    <x v="7"/>
    <x v="2"/>
    <s v="App"/>
    <s v="No-Show"/>
    <n v="16"/>
    <x v="4"/>
    <n v="0"/>
    <s v="Yes"/>
    <x v="0"/>
    <x v="2"/>
    <n v="2.73"/>
  </r>
  <r>
    <s v="AYH-154"/>
    <d v="2025-05-26T00:00:00"/>
    <s v="Alok Nair"/>
    <x v="14"/>
    <s v="F"/>
    <x v="0"/>
    <x v="6"/>
    <x v="10"/>
    <x v="29"/>
    <x v="2"/>
    <x v="0"/>
    <s v="Hospital Desk"/>
    <s v="In Progress"/>
    <n v="14"/>
    <x v="4"/>
    <n v="0"/>
    <s v="Yes"/>
    <x v="0"/>
    <x v="1"/>
    <n v="2.73"/>
  </r>
  <r>
    <s v="AYH-155"/>
    <d v="2025-05-03T00:00:00"/>
    <s v="Lata Ghosh"/>
    <x v="35"/>
    <s v="F"/>
    <x v="2"/>
    <x v="8"/>
    <x v="3"/>
    <x v="67"/>
    <x v="1"/>
    <x v="0"/>
    <s v="Hospital Desk"/>
    <s v="Completed"/>
    <n v="5"/>
    <x v="41"/>
    <n v="814"/>
    <s v="Yes"/>
    <x v="1"/>
    <x v="2"/>
    <n v="5"/>
  </r>
  <r>
    <s v="AYH-156"/>
    <d v="2025-05-01T00:00:00"/>
    <s v="Suresh Nair"/>
    <x v="24"/>
    <s v="M"/>
    <x v="2"/>
    <x v="3"/>
    <x v="3"/>
    <x v="68"/>
    <x v="2"/>
    <x v="1"/>
    <s v="Hospital Desk"/>
    <s v="Completed"/>
    <n v="8"/>
    <x v="4"/>
    <n v="837"/>
    <s v="No"/>
    <x v="1"/>
    <x v="0"/>
    <n v="4"/>
  </r>
  <r>
    <s v="AYH-157"/>
    <d v="2025-05-03T00:00:00"/>
    <s v="Aamir Patel"/>
    <x v="31"/>
    <s v="M"/>
    <x v="0"/>
    <x v="6"/>
    <x v="10"/>
    <x v="10"/>
    <x v="4"/>
    <x v="2"/>
    <s v="Hospital Desk"/>
    <s v="Completed"/>
    <n v="8"/>
    <x v="16"/>
    <n v="1152"/>
    <s v="No"/>
    <x v="0"/>
    <x v="0"/>
    <n v="4.8"/>
  </r>
  <r>
    <s v="AYH-158"/>
    <d v="2025-05-11T00:00:00"/>
    <s v="Rohit Rana"/>
    <x v="46"/>
    <s v="F"/>
    <x v="0"/>
    <x v="6"/>
    <x v="0"/>
    <x v="25"/>
    <x v="3"/>
    <x v="2"/>
    <s v="SMS"/>
    <s v="Completed"/>
    <n v="11"/>
    <x v="2"/>
    <n v="605"/>
    <s v="Yes"/>
    <x v="0"/>
    <x v="2"/>
    <n v="3.3"/>
  </r>
  <r>
    <s v="AYH-159"/>
    <d v="2025-05-21T00:00:00"/>
    <s v="Tanya Ghosh"/>
    <x v="20"/>
    <s v="F"/>
    <x v="3"/>
    <x v="9"/>
    <x v="7"/>
    <x v="69"/>
    <x v="4"/>
    <x v="0"/>
    <s v="Hospital Desk"/>
    <s v="Cancelled"/>
    <n v="11"/>
    <x v="4"/>
    <n v="0"/>
    <s v="No"/>
    <x v="1"/>
    <x v="2"/>
    <n v="2.73"/>
  </r>
  <r>
    <s v="AYH-160"/>
    <d v="2025-05-19T00:00:00"/>
    <s v="Arjun Kumar"/>
    <x v="48"/>
    <s v="M"/>
    <x v="0"/>
    <x v="0"/>
    <x v="10"/>
    <x v="56"/>
    <x v="7"/>
    <x v="0"/>
    <s v="App"/>
    <s v="Completed"/>
    <n v="17"/>
    <x v="37"/>
    <n v="1261"/>
    <s v="Yes"/>
    <x v="0"/>
    <x v="1"/>
    <n v="3.7"/>
  </r>
  <r>
    <s v="AYH-161"/>
    <d v="2025-05-03T00:00:00"/>
    <s v="Arjun Ghosh"/>
    <x v="24"/>
    <s v="F"/>
    <x v="0"/>
    <x v="0"/>
    <x v="10"/>
    <x v="67"/>
    <x v="6"/>
    <x v="0"/>
    <s v="App"/>
    <s v="Completed"/>
    <n v="7"/>
    <x v="42"/>
    <n v="1498"/>
    <s v="No"/>
    <x v="0"/>
    <x v="2"/>
    <n v="4.0999999999999996"/>
  </r>
  <r>
    <s v="AYH-162"/>
    <d v="2025-05-04T00:00:00"/>
    <s v="Arjun Rana"/>
    <x v="26"/>
    <s v="F"/>
    <x v="3"/>
    <x v="9"/>
    <x v="11"/>
    <x v="0"/>
    <x v="2"/>
    <x v="2"/>
    <s v="Hospital Desk"/>
    <s v="No-Show"/>
    <n v="12"/>
    <x v="4"/>
    <n v="0"/>
    <s v="Yes"/>
    <x v="0"/>
    <x v="2"/>
    <n v="2.73"/>
  </r>
  <r>
    <s v="AYH-163"/>
    <d v="2025-05-17T00:00:00"/>
    <s v="Rohit Shah"/>
    <x v="7"/>
    <s v="M"/>
    <x v="1"/>
    <x v="1"/>
    <x v="8"/>
    <x v="56"/>
    <x v="1"/>
    <x v="2"/>
    <s v="Hospital Desk"/>
    <s v="Cancelled"/>
    <n v="5"/>
    <x v="4"/>
    <n v="0"/>
    <s v="Yes"/>
    <x v="0"/>
    <x v="2"/>
    <n v="2.73"/>
  </r>
  <r>
    <s v="AYH-164"/>
    <d v="2025-05-17T00:00:00"/>
    <s v="Rekha Nair"/>
    <x v="9"/>
    <s v="F"/>
    <x v="2"/>
    <x v="4"/>
    <x v="6"/>
    <x v="62"/>
    <x v="3"/>
    <x v="1"/>
    <s v="SMS"/>
    <s v="Completed"/>
    <n v="13"/>
    <x v="35"/>
    <n v="530"/>
    <s v="Yes"/>
    <x v="0"/>
    <x v="2"/>
    <n v="3.5"/>
  </r>
  <r>
    <s v="AYH-165"/>
    <d v="2025-05-30T00:00:00"/>
    <s v="Aamir Patel"/>
    <x v="18"/>
    <s v="M"/>
    <x v="2"/>
    <x v="4"/>
    <x v="6"/>
    <x v="17"/>
    <x v="3"/>
    <x v="2"/>
    <s v="App"/>
    <s v="Completed"/>
    <n v="6"/>
    <x v="4"/>
    <n v="900"/>
    <s v="Yes"/>
    <x v="0"/>
    <x v="0"/>
    <n v="3.1"/>
  </r>
  <r>
    <s v="AYH-166"/>
    <d v="2025-05-06T00:00:00"/>
    <s v="Suresh Kumar"/>
    <x v="39"/>
    <s v="M"/>
    <x v="0"/>
    <x v="6"/>
    <x v="0"/>
    <x v="65"/>
    <x v="7"/>
    <x v="0"/>
    <s v="SMS"/>
    <s v="In Progress"/>
    <n v="23"/>
    <x v="4"/>
    <n v="0"/>
    <s v="No"/>
    <x v="0"/>
    <x v="0"/>
    <n v="2.73"/>
  </r>
  <r>
    <s v="AYH-167"/>
    <d v="2025-05-26T00:00:00"/>
    <s v="Sneha Das"/>
    <x v="31"/>
    <s v="F"/>
    <x v="3"/>
    <x v="7"/>
    <x v="5"/>
    <x v="70"/>
    <x v="7"/>
    <x v="0"/>
    <s v="SMS"/>
    <s v="Cancelled"/>
    <n v="5"/>
    <x v="4"/>
    <n v="0"/>
    <s v="No"/>
    <x v="0"/>
    <x v="2"/>
    <n v="2.73"/>
  </r>
  <r>
    <s v="AYH-168"/>
    <d v="2025-05-01T00:00:00"/>
    <s v="Ravi Bora"/>
    <x v="21"/>
    <s v="M"/>
    <x v="2"/>
    <x v="8"/>
    <x v="9"/>
    <x v="33"/>
    <x v="6"/>
    <x v="2"/>
    <s v="SMS"/>
    <s v="Completed"/>
    <n v="9"/>
    <x v="4"/>
    <n v="1239"/>
    <s v="Yes"/>
    <x v="0"/>
    <x v="1"/>
    <n v="3"/>
  </r>
  <r>
    <s v="AYH-169"/>
    <d v="2025-05-24T00:00:00"/>
    <s v="Rohit Nair"/>
    <x v="10"/>
    <s v="F"/>
    <x v="1"/>
    <x v="1"/>
    <x v="8"/>
    <x v="71"/>
    <x v="0"/>
    <x v="0"/>
    <s v="App"/>
    <s v="Completed"/>
    <n v="7"/>
    <x v="43"/>
    <n v="874"/>
    <s v="No"/>
    <x v="1"/>
    <x v="1"/>
    <n v="4.8"/>
  </r>
  <r>
    <s v="AYH-170"/>
    <d v="2025-05-08T00:00:00"/>
    <s v="Geeta Ghosh"/>
    <x v="34"/>
    <s v="F"/>
    <x v="0"/>
    <x v="6"/>
    <x v="2"/>
    <x v="50"/>
    <x v="3"/>
    <x v="1"/>
    <s v="SMS"/>
    <s v="Completed"/>
    <n v="13"/>
    <x v="16"/>
    <n v="1204"/>
    <s v="No"/>
    <x v="1"/>
    <x v="0"/>
    <n v="4.4000000000000004"/>
  </r>
  <r>
    <s v="AYH-171"/>
    <d v="2025-05-27T00:00:00"/>
    <s v="Lata Ghosh"/>
    <x v="52"/>
    <s v="F"/>
    <x v="0"/>
    <x v="0"/>
    <x v="2"/>
    <x v="16"/>
    <x v="4"/>
    <x v="0"/>
    <s v="App"/>
    <s v="Completed"/>
    <n v="11"/>
    <x v="12"/>
    <n v="1031"/>
    <s v="No"/>
    <x v="1"/>
    <x v="0"/>
    <n v="3.9"/>
  </r>
  <r>
    <s v="AYH-172"/>
    <d v="2025-05-04T00:00:00"/>
    <s v="Nisha Nair"/>
    <x v="3"/>
    <s v="M"/>
    <x v="0"/>
    <x v="0"/>
    <x v="10"/>
    <x v="69"/>
    <x v="3"/>
    <x v="0"/>
    <s v="Hospital Desk"/>
    <s v="Completed"/>
    <n v="5"/>
    <x v="29"/>
    <n v="1326"/>
    <s v="Yes"/>
    <x v="0"/>
    <x v="0"/>
    <n v="4.0999999999999996"/>
  </r>
  <r>
    <s v="AYH-173"/>
    <d v="2025-05-04T00:00:00"/>
    <s v="Arjun Bora"/>
    <x v="39"/>
    <s v="M"/>
    <x v="3"/>
    <x v="9"/>
    <x v="5"/>
    <x v="31"/>
    <x v="1"/>
    <x v="0"/>
    <s v="App"/>
    <s v="Completed"/>
    <n v="5"/>
    <x v="34"/>
    <n v="804"/>
    <s v="Yes"/>
    <x v="0"/>
    <x v="0"/>
    <n v="4.8"/>
  </r>
  <r>
    <s v="AYH-174"/>
    <d v="2025-05-02T00:00:00"/>
    <s v="Geeta Patel"/>
    <x v="36"/>
    <s v="F"/>
    <x v="0"/>
    <x v="2"/>
    <x v="2"/>
    <x v="58"/>
    <x v="3"/>
    <x v="1"/>
    <s v="SMS"/>
    <s v="Completed"/>
    <n v="10"/>
    <x v="33"/>
    <n v="839"/>
    <s v="Yes"/>
    <x v="0"/>
    <x v="2"/>
    <n v="4.8"/>
  </r>
  <r>
    <s v="AYH-175"/>
    <d v="2025-05-16T00:00:00"/>
    <s v="Tanya Bora"/>
    <x v="44"/>
    <s v="F"/>
    <x v="3"/>
    <x v="7"/>
    <x v="7"/>
    <x v="28"/>
    <x v="5"/>
    <x v="2"/>
    <s v="Hospital Desk"/>
    <s v="Completed"/>
    <n v="11"/>
    <x v="32"/>
    <n v="1476"/>
    <s v="No"/>
    <x v="0"/>
    <x v="1"/>
    <n v="3.5"/>
  </r>
  <r>
    <s v="AYH-176"/>
    <d v="2025-05-08T00:00:00"/>
    <s v="Lata Joshi"/>
    <x v="33"/>
    <s v="F"/>
    <x v="1"/>
    <x v="5"/>
    <x v="8"/>
    <x v="46"/>
    <x v="2"/>
    <x v="2"/>
    <s v="SMS"/>
    <s v="Completed"/>
    <n v="6"/>
    <x v="19"/>
    <n v="1484"/>
    <s v="Yes"/>
    <x v="0"/>
    <x v="0"/>
    <n v="3.7"/>
  </r>
  <r>
    <s v="AYH-177"/>
    <d v="2025-05-23T00:00:00"/>
    <s v="Alok Kumar"/>
    <x v="40"/>
    <s v="M"/>
    <x v="3"/>
    <x v="11"/>
    <x v="11"/>
    <x v="50"/>
    <x v="1"/>
    <x v="0"/>
    <s v="Hospital Desk"/>
    <s v="Cancelled"/>
    <n v="23"/>
    <x v="4"/>
    <n v="0"/>
    <s v="No"/>
    <x v="1"/>
    <x v="2"/>
    <n v="2.73"/>
  </r>
  <r>
    <s v="AYH-178"/>
    <d v="2025-05-08T00:00:00"/>
    <s v="Kavita Das"/>
    <x v="40"/>
    <s v="F"/>
    <x v="2"/>
    <x v="8"/>
    <x v="9"/>
    <x v="48"/>
    <x v="3"/>
    <x v="1"/>
    <s v="App"/>
    <s v="No-Show"/>
    <n v="6"/>
    <x v="4"/>
    <n v="0"/>
    <s v="No"/>
    <x v="0"/>
    <x v="2"/>
    <n v="2.73"/>
  </r>
  <r>
    <s v="AYH-179"/>
    <d v="2025-05-31T00:00:00"/>
    <s v="Suresh Bora"/>
    <x v="9"/>
    <s v="F"/>
    <x v="0"/>
    <x v="6"/>
    <x v="10"/>
    <x v="72"/>
    <x v="1"/>
    <x v="2"/>
    <s v="Hospital Desk"/>
    <s v="Completed"/>
    <n v="6"/>
    <x v="6"/>
    <n v="702"/>
    <s v="Yes"/>
    <x v="0"/>
    <x v="0"/>
    <n v="4.2"/>
  </r>
  <r>
    <s v="AYH-180"/>
    <d v="2025-05-27T00:00:00"/>
    <s v="Kavita Das"/>
    <x v="8"/>
    <s v="F"/>
    <x v="0"/>
    <x v="2"/>
    <x v="0"/>
    <x v="33"/>
    <x v="7"/>
    <x v="1"/>
    <s v="App"/>
    <s v="Completed"/>
    <n v="25"/>
    <x v="16"/>
    <n v="756"/>
    <s v="Yes"/>
    <x v="0"/>
    <x v="1"/>
    <n v="4.4000000000000004"/>
  </r>
  <r>
    <s v="AYH-181"/>
    <d v="2025-05-11T00:00:00"/>
    <s v="Rekha Patel"/>
    <x v="40"/>
    <s v="F"/>
    <x v="3"/>
    <x v="11"/>
    <x v="7"/>
    <x v="9"/>
    <x v="0"/>
    <x v="0"/>
    <s v="App"/>
    <s v="In Progress"/>
    <n v="24"/>
    <x v="4"/>
    <n v="0"/>
    <s v="No"/>
    <x v="1"/>
    <x v="2"/>
    <n v="2.73"/>
  </r>
  <r>
    <s v="AYH-182"/>
    <d v="2025-05-15T00:00:00"/>
    <s v="Meena Rana"/>
    <x v="7"/>
    <s v="F"/>
    <x v="0"/>
    <x v="0"/>
    <x v="10"/>
    <x v="48"/>
    <x v="2"/>
    <x v="0"/>
    <s v="Hospital Desk"/>
    <s v="Completed"/>
    <n v="11"/>
    <x v="38"/>
    <n v="538"/>
    <s v="No"/>
    <x v="0"/>
    <x v="2"/>
    <n v="3.7"/>
  </r>
  <r>
    <s v="AYH-183"/>
    <d v="2025-05-09T00:00:00"/>
    <s v="Ravi Bora"/>
    <x v="8"/>
    <s v="M"/>
    <x v="1"/>
    <x v="10"/>
    <x v="1"/>
    <x v="73"/>
    <x v="5"/>
    <x v="2"/>
    <s v="SMS"/>
    <s v="Completed"/>
    <n v="10"/>
    <x v="12"/>
    <n v="550"/>
    <s v="No"/>
    <x v="0"/>
    <x v="1"/>
    <n v="4.5999999999999996"/>
  </r>
  <r>
    <s v="AYH-184"/>
    <d v="2025-05-11T00:00:00"/>
    <s v="Meena Joshi"/>
    <x v="53"/>
    <s v="F"/>
    <x v="0"/>
    <x v="0"/>
    <x v="10"/>
    <x v="54"/>
    <x v="3"/>
    <x v="2"/>
    <s v="App"/>
    <s v="Completed"/>
    <n v="5"/>
    <x v="41"/>
    <n v="737"/>
    <s v="Yes"/>
    <x v="0"/>
    <x v="2"/>
    <n v="4.2"/>
  </r>
  <r>
    <s v="AYH-185"/>
    <d v="2025-05-01T00:00:00"/>
    <s v="Sunil Joshi"/>
    <x v="10"/>
    <s v="M"/>
    <x v="3"/>
    <x v="9"/>
    <x v="7"/>
    <x v="4"/>
    <x v="0"/>
    <x v="1"/>
    <s v="SMS"/>
    <s v="Completed"/>
    <n v="16"/>
    <x v="4"/>
    <n v="1275"/>
    <s v="No"/>
    <x v="0"/>
    <x v="0"/>
    <n v="3.2"/>
  </r>
  <r>
    <s v="AYH-186"/>
    <d v="2025-05-02T00:00:00"/>
    <s v="Lata Nair"/>
    <x v="51"/>
    <s v="F"/>
    <x v="3"/>
    <x v="9"/>
    <x v="11"/>
    <x v="7"/>
    <x v="0"/>
    <x v="0"/>
    <s v="SMS"/>
    <s v="Completed"/>
    <n v="7"/>
    <x v="32"/>
    <n v="1193"/>
    <s v="No"/>
    <x v="0"/>
    <x v="2"/>
    <n v="3.4"/>
  </r>
  <r>
    <s v="AYH-187"/>
    <d v="2025-05-19T00:00:00"/>
    <s v="Priyanka Nair"/>
    <x v="12"/>
    <s v="F"/>
    <x v="2"/>
    <x v="3"/>
    <x v="6"/>
    <x v="26"/>
    <x v="0"/>
    <x v="0"/>
    <s v="SMS"/>
    <s v="Completed"/>
    <n v="22"/>
    <x v="26"/>
    <n v="865"/>
    <s v="Yes"/>
    <x v="1"/>
    <x v="1"/>
    <n v="4.0999999999999996"/>
  </r>
  <r>
    <s v="AYH-188"/>
    <d v="2025-05-22T00:00:00"/>
    <s v="Farhan Joshi"/>
    <x v="54"/>
    <s v="F"/>
    <x v="3"/>
    <x v="11"/>
    <x v="7"/>
    <x v="45"/>
    <x v="4"/>
    <x v="2"/>
    <s v="Hospital Desk"/>
    <s v="Completed"/>
    <n v="10"/>
    <x v="39"/>
    <n v="833"/>
    <s v="Yes"/>
    <x v="0"/>
    <x v="0"/>
    <n v="4.5999999999999996"/>
  </r>
  <r>
    <s v="AYH-189"/>
    <d v="2025-05-30T00:00:00"/>
    <s v="Suresh Nair"/>
    <x v="43"/>
    <s v="F"/>
    <x v="1"/>
    <x v="10"/>
    <x v="8"/>
    <x v="43"/>
    <x v="3"/>
    <x v="1"/>
    <s v="SMS"/>
    <s v="Cancelled"/>
    <n v="22"/>
    <x v="4"/>
    <n v="0"/>
    <s v="Yes"/>
    <x v="1"/>
    <x v="1"/>
    <n v="2.73"/>
  </r>
  <r>
    <s v="AYH-190"/>
    <d v="2025-05-20T00:00:00"/>
    <s v="Rekha Das"/>
    <x v="29"/>
    <s v="M"/>
    <x v="0"/>
    <x v="6"/>
    <x v="0"/>
    <x v="64"/>
    <x v="7"/>
    <x v="0"/>
    <s v="SMS"/>
    <s v="Completed"/>
    <n v="14"/>
    <x v="7"/>
    <n v="1104"/>
    <s v="Yes"/>
    <x v="1"/>
    <x v="0"/>
    <n v="4.8"/>
  </r>
  <r>
    <s v="AYH-191"/>
    <d v="2025-05-11T00:00:00"/>
    <s v="Rohit Kumar"/>
    <x v="0"/>
    <s v="F"/>
    <x v="1"/>
    <x v="10"/>
    <x v="4"/>
    <x v="66"/>
    <x v="0"/>
    <x v="2"/>
    <s v="App"/>
    <s v="Completed"/>
    <n v="15"/>
    <x v="20"/>
    <n v="886"/>
    <s v="No"/>
    <x v="0"/>
    <x v="2"/>
    <n v="3.1"/>
  </r>
  <r>
    <s v="AYH-192"/>
    <d v="2025-05-07T00:00:00"/>
    <s v="Divya Joshi"/>
    <x v="30"/>
    <s v="F"/>
    <x v="2"/>
    <x v="3"/>
    <x v="6"/>
    <x v="64"/>
    <x v="5"/>
    <x v="1"/>
    <s v="Hospital Desk"/>
    <s v="No-Show"/>
    <n v="15"/>
    <x v="4"/>
    <n v="0"/>
    <s v="Yes"/>
    <x v="0"/>
    <x v="0"/>
    <n v="2.73"/>
  </r>
  <r>
    <s v="AYH-193"/>
    <d v="2025-05-15T00:00:00"/>
    <s v="Kavita Kumar"/>
    <x v="26"/>
    <s v="F"/>
    <x v="1"/>
    <x v="10"/>
    <x v="1"/>
    <x v="12"/>
    <x v="5"/>
    <x v="1"/>
    <s v="SMS"/>
    <s v="Completed"/>
    <n v="9"/>
    <x v="35"/>
    <n v="459"/>
    <s v="Yes"/>
    <x v="1"/>
    <x v="2"/>
    <n v="3.3"/>
  </r>
  <r>
    <s v="AYH-194"/>
    <d v="2025-05-12T00:00:00"/>
    <s v="Alok Shah"/>
    <x v="36"/>
    <s v="M"/>
    <x v="0"/>
    <x v="2"/>
    <x v="0"/>
    <x v="56"/>
    <x v="6"/>
    <x v="2"/>
    <s v="SMS"/>
    <s v="Completed"/>
    <n v="12"/>
    <x v="44"/>
    <n v="1401"/>
    <s v="Yes"/>
    <x v="0"/>
    <x v="2"/>
    <n v="4.2"/>
  </r>
  <r>
    <s v="AYH-195"/>
    <d v="2025-05-30T00:00:00"/>
    <s v="Ravi Nair"/>
    <x v="20"/>
    <s v="M"/>
    <x v="2"/>
    <x v="4"/>
    <x v="6"/>
    <x v="27"/>
    <x v="4"/>
    <x v="2"/>
    <s v="App"/>
    <s v="Completed"/>
    <n v="25"/>
    <x v="18"/>
    <n v="823"/>
    <s v="Yes"/>
    <x v="0"/>
    <x v="1"/>
    <n v="3.5"/>
  </r>
  <r>
    <s v="AYH-196"/>
    <d v="2025-05-10T00:00:00"/>
    <s v="Sunil Nair"/>
    <x v="15"/>
    <s v="F"/>
    <x v="3"/>
    <x v="7"/>
    <x v="5"/>
    <x v="66"/>
    <x v="1"/>
    <x v="0"/>
    <s v="SMS"/>
    <s v="In Progress"/>
    <n v="16"/>
    <x v="4"/>
    <n v="0"/>
    <s v="No"/>
    <x v="0"/>
    <x v="2"/>
    <n v="2.73"/>
  </r>
  <r>
    <s v="AYH-197"/>
    <d v="2025-05-28T00:00:00"/>
    <s v="Pradeep Bora"/>
    <x v="36"/>
    <s v="M"/>
    <x v="1"/>
    <x v="1"/>
    <x v="4"/>
    <x v="53"/>
    <x v="1"/>
    <x v="1"/>
    <s v="Hospital Desk"/>
    <s v="No-Show"/>
    <n v="20"/>
    <x v="4"/>
    <n v="0"/>
    <s v="No"/>
    <x v="0"/>
    <x v="2"/>
    <n v="2.73"/>
  </r>
  <r>
    <s v="AYH-198"/>
    <d v="2025-05-24T00:00:00"/>
    <s v="Tanya Rana"/>
    <x v="12"/>
    <s v="F"/>
    <x v="2"/>
    <x v="3"/>
    <x v="9"/>
    <x v="64"/>
    <x v="0"/>
    <x v="0"/>
    <s v="App"/>
    <s v="Completed"/>
    <n v="9"/>
    <x v="6"/>
    <n v="1418"/>
    <s v="Yes"/>
    <x v="0"/>
    <x v="1"/>
    <n v="5"/>
  </r>
  <r>
    <s v="AYH-199"/>
    <d v="2025-05-16T00:00:00"/>
    <s v="Sneha Joshi"/>
    <x v="12"/>
    <s v="F"/>
    <x v="0"/>
    <x v="6"/>
    <x v="0"/>
    <x v="21"/>
    <x v="6"/>
    <x v="2"/>
    <s v="Hospital Desk"/>
    <s v="Completed"/>
    <n v="21"/>
    <x v="27"/>
    <n v="748"/>
    <s v="No"/>
    <x v="0"/>
    <x v="2"/>
    <n v="4.7"/>
  </r>
  <r>
    <s v="AYH-200"/>
    <d v="2025-05-19T00:00:00"/>
    <s v="Meena Das"/>
    <x v="46"/>
    <s v="F"/>
    <x v="3"/>
    <x v="7"/>
    <x v="7"/>
    <x v="44"/>
    <x v="3"/>
    <x v="1"/>
    <s v="SMS"/>
    <s v="Completed"/>
    <n v="16"/>
    <x v="10"/>
    <n v="1002"/>
    <s v="Yes"/>
    <x v="0"/>
    <x v="2"/>
    <n v="3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579A5-44E6-409F-A48B-F0CBD4C51070}" name="PivotTable3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23:H32" firstHeaderRow="1" firstDataRow="1" firstDataCol="1"/>
  <pivotFields count="20">
    <pivotField compact="0" outline="0" showAll="0"/>
    <pivotField compact="0" numFmtId="14" outline="0" showAll="0"/>
    <pivotField compact="0" outline="0" showAll="0"/>
    <pivotField compact="0" outline="0" showAll="0">
      <items count="56">
        <item h="1" x="7"/>
        <item h="1" x="33"/>
        <item h="1" x="0"/>
        <item h="1" x="11"/>
        <item h="1" x="31"/>
        <item h="1" x="1"/>
        <item x="54"/>
        <item h="1" x="44"/>
        <item h="1" x="10"/>
        <item h="1" x="2"/>
        <item h="1" x="40"/>
        <item h="1" x="45"/>
        <item h="1" x="27"/>
        <item h="1" x="18"/>
        <item h="1" x="34"/>
        <item h="1" x="3"/>
        <item h="1" x="14"/>
        <item h="1" x="5"/>
        <item h="1" x="26"/>
        <item h="1" x="48"/>
        <item h="1" x="53"/>
        <item h="1" x="16"/>
        <item h="1" x="43"/>
        <item h="1" x="38"/>
        <item h="1" x="46"/>
        <item h="1" x="24"/>
        <item h="1" x="35"/>
        <item h="1" x="41"/>
        <item h="1" x="22"/>
        <item h="1" x="51"/>
        <item h="1" x="17"/>
        <item h="1" x="50"/>
        <item h="1" x="52"/>
        <item h="1" x="25"/>
        <item h="1" x="29"/>
        <item h="1" x="6"/>
        <item h="1" x="49"/>
        <item h="1" x="4"/>
        <item h="1" x="37"/>
        <item h="1" x="12"/>
        <item h="1" x="36"/>
        <item h="1" x="28"/>
        <item h="1" x="23"/>
        <item h="1" x="21"/>
        <item h="1" x="30"/>
        <item h="1" x="47"/>
        <item h="1" x="32"/>
        <item h="1" x="8"/>
        <item h="1" x="9"/>
        <item h="1" x="39"/>
        <item h="1" x="19"/>
        <item h="1" x="20"/>
        <item h="1" x="42"/>
        <item h="1" x="13"/>
        <item h="1" x="15"/>
        <item t="default"/>
      </items>
    </pivotField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>
      <items count="75">
        <item x="66"/>
        <item x="32"/>
        <item x="51"/>
        <item x="11"/>
        <item x="42"/>
        <item x="31"/>
        <item x="22"/>
        <item x="5"/>
        <item x="73"/>
        <item x="20"/>
        <item x="49"/>
        <item x="0"/>
        <item x="8"/>
        <item x="38"/>
        <item x="55"/>
        <item x="24"/>
        <item x="61"/>
        <item x="41"/>
        <item x="18"/>
        <item x="15"/>
        <item x="9"/>
        <item x="12"/>
        <item x="58"/>
        <item x="64"/>
        <item x="14"/>
        <item x="6"/>
        <item x="47"/>
        <item x="19"/>
        <item x="30"/>
        <item x="40"/>
        <item x="2"/>
        <item x="26"/>
        <item x="52"/>
        <item x="60"/>
        <item x="7"/>
        <item x="54"/>
        <item x="13"/>
        <item x="27"/>
        <item x="67"/>
        <item x="10"/>
        <item x="56"/>
        <item x="68"/>
        <item x="63"/>
        <item x="59"/>
        <item x="72"/>
        <item x="45"/>
        <item x="57"/>
        <item x="25"/>
        <item x="44"/>
        <item x="34"/>
        <item x="53"/>
        <item x="36"/>
        <item x="16"/>
        <item x="48"/>
        <item x="43"/>
        <item x="17"/>
        <item x="70"/>
        <item x="50"/>
        <item x="29"/>
        <item x="65"/>
        <item x="3"/>
        <item x="71"/>
        <item x="23"/>
        <item x="69"/>
        <item x="33"/>
        <item x="21"/>
        <item x="28"/>
        <item x="1"/>
        <item x="39"/>
        <item x="4"/>
        <item x="46"/>
        <item x="37"/>
        <item x="62"/>
        <item x="35"/>
        <item t="default"/>
      </items>
    </pivotField>
    <pivotField axis="axisRow" compact="0" outline="0" showAll="0">
      <items count="9">
        <item x="1"/>
        <item x="6"/>
        <item x="2"/>
        <item x="5"/>
        <item x="0"/>
        <item x="4"/>
        <item x="7"/>
        <item x="3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6">
        <item x="4"/>
        <item x="6"/>
        <item x="43"/>
        <item x="8"/>
        <item x="34"/>
        <item x="2"/>
        <item x="1"/>
        <item x="36"/>
        <item x="21"/>
        <item x="24"/>
        <item x="39"/>
        <item x="40"/>
        <item x="9"/>
        <item x="0"/>
        <item x="18"/>
        <item x="38"/>
        <item x="10"/>
        <item x="3"/>
        <item x="11"/>
        <item x="27"/>
        <item x="16"/>
        <item x="15"/>
        <item x="33"/>
        <item x="44"/>
        <item x="14"/>
        <item x="29"/>
        <item x="26"/>
        <item x="41"/>
        <item x="12"/>
        <item x="30"/>
        <item x="19"/>
        <item x="23"/>
        <item x="31"/>
        <item x="35"/>
        <item x="7"/>
        <item x="22"/>
        <item x="37"/>
        <item x="17"/>
        <item x="5"/>
        <item x="28"/>
        <item x="42"/>
        <item x="32"/>
        <item x="13"/>
        <item x="20"/>
        <item x="2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Follow-Up Required" fld="16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65F6A-567C-42D2-853A-D12AC2548709}" name="PivotTable2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8:E32" firstHeaderRow="1" firstDataRow="2" firstDataCol="1"/>
  <pivotFields count="20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axis="axisRow" compact="0" outline="0" showAll="0">
      <items count="13">
        <item x="3"/>
        <item x="9"/>
        <item x="5"/>
        <item x="6"/>
        <item x="2"/>
        <item x="4"/>
        <item x="7"/>
        <item x="0"/>
        <item x="10"/>
        <item x="11"/>
        <item x="1"/>
        <item x="8"/>
        <item t="default"/>
      </items>
    </pivotField>
    <pivotField compact="0" outline="0" showAll="0"/>
    <pivotField compact="0" outline="0" showAll="0">
      <items count="9">
        <item x="1"/>
        <item x="6"/>
        <item x="2"/>
        <item x="5"/>
        <item x="0"/>
        <item x="4"/>
        <item x="7"/>
        <item x="3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Record 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7F98E-128A-44A0-B100-C5F590972AFF}" name="PivotTable4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D3" firstHeaderRow="0" firstDataRow="1" firstDataCol="0"/>
  <pivotFields count="20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6"/>
        <item x="2"/>
        <item x="5"/>
        <item x="0"/>
        <item x="4"/>
        <item x="7"/>
        <item x="3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dataField="1" compact="0" outline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Record ID" fld="0" subtotal="count" baseField="0" baseItem="0"/>
    <dataField name="Average of Waiting Time (min)" fld="14" subtotal="average" baseField="0" baseItem="0"/>
    <dataField name="Average of User Rating (/5)" fld="19" subtotal="average" baseField="0" baseItem="0"/>
    <dataField name="Sum of Treatment Cost (₹)" fld="1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BB21A-D5C2-4B6F-8457-1FCF9C6AEBDC}" name="PivotTable1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4:Q18" firstHeaderRow="1" firstDataRow="2" firstDataCol="1"/>
  <pivotFields count="20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13">
        <item x="1"/>
        <item x="8"/>
        <item x="11"/>
        <item x="7"/>
        <item x="0"/>
        <item x="9"/>
        <item x="6"/>
        <item x="4"/>
        <item x="2"/>
        <item x="10"/>
        <item x="3"/>
        <item x="5"/>
        <item t="default"/>
      </items>
    </pivotField>
    <pivotField axis="axisRow" compact="0" outline="0" showAll="0">
      <items count="13">
        <item x="3"/>
        <item x="9"/>
        <item x="5"/>
        <item x="6"/>
        <item x="2"/>
        <item x="4"/>
        <item x="7"/>
        <item x="0"/>
        <item x="10"/>
        <item x="11"/>
        <item x="1"/>
        <item x="8"/>
        <item t="default"/>
      </items>
    </pivotField>
    <pivotField compact="0" outline="0" showAll="0"/>
    <pivotField axis="axisCol" compact="0" outline="0" showAll="0">
      <items count="9">
        <item x="1"/>
        <item x="6"/>
        <item x="2"/>
        <item x="5"/>
        <item x="0"/>
        <item x="4"/>
        <item x="7"/>
        <item x="3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9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Record 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46CFE-8E88-424A-9413-6DA92748F977}" name="PivotTable4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B6:C11" firstHeaderRow="1" firstDataRow="1" firstDataCol="1"/>
  <pivotFields count="2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6"/>
        <item x="2"/>
        <item x="5"/>
        <item x="0"/>
        <item x="4"/>
        <item x="7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reatment Cost (₹)" fld="15" baseField="0" baseItem="0"/>
  </dataFields>
  <formats count="2">
    <format dxfId="25">
      <pivotArea dataOnly="0" labelOnly="1" outline="0" axis="axisValues" fieldPosition="0"/>
    </format>
    <format dxfId="26">
      <pivotArea field="5" type="button" dataOnly="0" labelOnly="1" outline="0" axis="axisRow" fieldPosition="0"/>
    </format>
  </format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0BB5E-A5D5-41BD-A5BF-AEA8DBBD5268}" name="PivotTable6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N23:O36" firstHeaderRow="1" firstDataRow="1" firstDataCol="1"/>
  <pivotFields count="2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3"/>
        <item x="9"/>
        <item x="5"/>
        <item x="6"/>
        <item x="2"/>
        <item x="4"/>
        <item x="7"/>
        <item x="0"/>
        <item x="10"/>
        <item x="11"/>
        <item x="1"/>
        <item x="8"/>
        <item t="default"/>
      </items>
    </pivotField>
    <pivotField compact="0" outline="0" showAll="0"/>
    <pivotField compact="0" outline="0" showAll="0">
      <items count="9">
        <item x="1"/>
        <item x="6"/>
        <item x="2"/>
        <item x="5"/>
        <item x="0"/>
        <item x="4"/>
        <item x="7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 User Rating (/5)" fld="19" baseField="0" baseItem="0"/>
  </dataFields>
  <formats count="3">
    <format dxfId="22">
      <pivotArea outline="0" fieldPosition="0">
        <references count="1">
          <reference field="7" count="0" selected="0"/>
        </references>
      </pivotArea>
    </format>
    <format dxfId="23">
      <pivotArea field="7" type="button" dataOnly="0" labelOnly="1" outline="0" axis="axisRow" fieldPosition="0"/>
    </format>
    <format dxfId="24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9417C-6319-459B-AFDF-FF254F7E8057}" name="PivotTable2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K6:O16" firstHeaderRow="1" firstDataRow="2" firstDataCol="1"/>
  <pivotFields count="20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1"/>
        <item x="6"/>
        <item x="2"/>
        <item x="5"/>
        <item x="0"/>
        <item x="4"/>
        <item x="7"/>
        <item x="3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 Record ID" fld="0" subtotal="count" baseField="0" baseItem="0"/>
  </dataFields>
  <formats count="6">
    <format dxfId="16">
      <pivotArea type="origin" dataOnly="0" labelOnly="1" outline="0" fieldPosition="0"/>
    </format>
    <format dxfId="17">
      <pivotArea field="10" type="button" dataOnly="0" labelOnly="1" outline="0" axis="axisCol" fieldPosition="0"/>
    </format>
    <format dxfId="18">
      <pivotArea type="topRight" dataOnly="0" labelOnly="1" outline="0" fieldPosition="0"/>
    </format>
    <format dxfId="19">
      <pivotArea field="9" type="button" dataOnly="0" labelOnly="1" outline="0" axis="axisRow" fieldPosition="0"/>
    </format>
    <format dxfId="20">
      <pivotArea dataOnly="0" labelOnly="1" outline="0" fieldPosition="0">
        <references count="1">
          <reference field="10" count="0"/>
        </references>
      </pivotArea>
    </format>
    <format dxfId="21">
      <pivotArea dataOnly="0" labelOnly="1" grandCol="1" outline="0" fieldPosition="0"/>
    </format>
  </formats>
  <chartFormats count="12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7AAB2-2EBD-473F-879E-AE81357E71E5}" name="PivotTable5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22:J28" firstHeaderRow="1" firstDataRow="2" firstDataCol="1"/>
  <pivotFields count="2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6"/>
        <item x="2"/>
        <item x="5"/>
        <item x="0"/>
        <item x="4"/>
        <item x="7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 Treatment Cost (₹)" fld="15" baseField="0" baseItem="0"/>
  </dataFields>
  <formats count="6">
    <format dxfId="10">
      <pivotArea type="origin" dataOnly="0" labelOnly="1" outline="0" fieldPosition="0"/>
    </format>
    <format dxfId="11">
      <pivotArea field="18" type="button" dataOnly="0" labelOnly="1" outline="0" axis="axisCol" fieldPosition="0"/>
    </format>
    <format dxfId="12">
      <pivotArea type="topRight" dataOnly="0" labelOnly="1" outline="0" fieldPosition="0"/>
    </format>
    <format dxfId="13">
      <pivotArea field="5" type="button" dataOnly="0" labelOnly="1" outline="0" axis="axisRow" fieldPosition="0"/>
    </format>
    <format dxfId="14">
      <pivotArea dataOnly="0" labelOnly="1" outline="0" fieldPosition="0">
        <references count="1">
          <reference field="18" count="0"/>
        </references>
      </pivotArea>
    </format>
    <format dxfId="15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8" count="1" selected="0">
            <x v="2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EA58CE-3D7B-4803-BFCF-980AD8616562}" name="PivotTable8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S6:T81" firstHeaderRow="1" firstDataRow="1" firstDataCol="1"/>
  <pivotFields count="2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5">
        <item x="66"/>
        <item x="32"/>
        <item x="51"/>
        <item x="11"/>
        <item x="42"/>
        <item x="31"/>
        <item x="22"/>
        <item x="5"/>
        <item x="73"/>
        <item x="20"/>
        <item x="49"/>
        <item x="0"/>
        <item x="8"/>
        <item x="38"/>
        <item x="55"/>
        <item x="24"/>
        <item x="61"/>
        <item x="41"/>
        <item x="18"/>
        <item x="15"/>
        <item x="9"/>
        <item x="12"/>
        <item x="58"/>
        <item x="64"/>
        <item x="14"/>
        <item x="6"/>
        <item x="47"/>
        <item x="19"/>
        <item x="30"/>
        <item x="40"/>
        <item x="2"/>
        <item x="26"/>
        <item x="52"/>
        <item x="60"/>
        <item x="7"/>
        <item x="54"/>
        <item x="13"/>
        <item x="27"/>
        <item x="67"/>
        <item x="10"/>
        <item x="56"/>
        <item x="68"/>
        <item x="63"/>
        <item x="59"/>
        <item x="72"/>
        <item x="45"/>
        <item x="57"/>
        <item x="25"/>
        <item x="44"/>
        <item x="34"/>
        <item x="53"/>
        <item x="36"/>
        <item x="16"/>
        <item x="48"/>
        <item x="43"/>
        <item x="17"/>
        <item x="70"/>
        <item x="50"/>
        <item x="29"/>
        <item x="65"/>
        <item x="3"/>
        <item x="71"/>
        <item x="23"/>
        <item x="69"/>
        <item x="33"/>
        <item x="21"/>
        <item x="28"/>
        <item x="1"/>
        <item x="39"/>
        <item x="4"/>
        <item x="46"/>
        <item x="37"/>
        <item x="62"/>
        <item x="35"/>
        <item t="default"/>
      </items>
    </pivotField>
    <pivotField compact="0" outline="0" showAll="0">
      <items count="9">
        <item x="1"/>
        <item x="6"/>
        <item x="2"/>
        <item x="5"/>
        <item x="0"/>
        <item x="4"/>
        <item x="7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8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Items count="1">
    <i/>
  </colItems>
  <dataFields count="1">
    <dataField name="Average of User Rating (/5)" fld="19" subtotal="average" baseField="0" baseItem="0"/>
  </dataFields>
  <formats count="2">
    <format dxfId="8">
      <pivotArea field="8" type="button" dataOnly="0" labelOnly="1" outline="0" axis="axisRow" fieldPosition="0"/>
    </format>
    <format dxfId="9">
      <pivotArea dataOnly="0" labelOnly="1" outline="0" axis="axisValues" fieldPosition="0"/>
    </format>
  </format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4F844-5251-4212-A5B3-FCD255563E8F}" name="PivotTable7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35:C44" firstHeaderRow="1" firstDataRow="1" firstDataCol="1"/>
  <pivotFields count="2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Dermatology" axis="axisRow" compact="0" outline="0" showAll="0">
      <items count="9">
        <item x="1"/>
        <item x="6"/>
        <item x="2"/>
        <item x="5"/>
        <item x="0"/>
        <item x="4"/>
        <item x="7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Waiting Time (min)" fld="14" subtotal="average" baseField="0" baseItem="0"/>
  </dataFields>
  <formats count="2">
    <format dxfId="6">
      <pivotArea field="9" type="button" dataOnly="0" labelOnly="1" outline="0" axis="axisRow" fieldPosition="0"/>
    </format>
    <format dxfId="7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04753-3DE5-4F82-BE17-6C9B6B729C4C}" name="PivotTable3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5:G14" firstHeaderRow="1" firstDataRow="1" firstDataCol="1"/>
  <pivotFields count="2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1"/>
        <item x="6"/>
        <item x="2"/>
        <item x="5"/>
        <item x="0"/>
        <item x="4"/>
        <item x="7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ser Rating (/5)" fld="19" baseField="0" baseItem="0"/>
  </dataFields>
  <formats count="4">
    <format dxfId="2">
      <pivotArea field="9" type="button" dataOnly="0" labelOnly="1" outline="0" axis="axisRow" fieldPosition="0"/>
    </format>
    <format dxfId="3">
      <pivotArea dataOnly="0" labelOnly="1" outline="0" axis="axisValues" fieldPosition="0"/>
    </format>
    <format dxfId="4">
      <pivotArea field="9" type="button" dataOnly="0" labelOnly="1" outline="0" axis="axisRow" fieldPosition="0"/>
    </format>
    <format dxfId="5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757EF-FB0F-42F3-B831-3C41953A9B7D}" name="PivotTable1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3:C27" firstHeaderRow="1" firstDataRow="1" firstDataCol="1"/>
  <pivotFields count="2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6"/>
        <item x="2"/>
        <item x="5"/>
        <item x="0"/>
        <item x="4"/>
        <item x="7"/>
        <item x="3"/>
        <item t="default"/>
      </items>
    </pivotField>
    <pivotField axis="axisRow" dataField="1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ppointment Type" fld="10" subtotal="count" baseField="0" baseItem="0"/>
  </dataFields>
  <formats count="2">
    <format dxfId="0">
      <pivotArea field="10" type="button" dataOnly="0" labelOnly="1" outline="0" axis="axisRow" fieldPosition="0"/>
    </format>
    <format dxfId="1">
      <pivotArea dataOnly="0" labelOnly="1" outline="0" axis="axisValues" fieldPosition="0"/>
    </format>
  </formats>
  <chartFormats count="16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6D2AE14B-5E8D-4F7B-8326-5A2C063D27F0}" sourceName="Region">
  <pivotTables>
    <pivotTable tabId="20" name="PivotTable4"/>
    <pivotTable tabId="20" name="PivotTable1"/>
    <pivotTable tabId="20" name="PivotTable2"/>
    <pivotTable tabId="20" name="PivotTable3"/>
  </pivotTables>
  <data>
    <tabular pivotCacheId="1614887097">
      <items count="4">
        <i x="2" s="1"/>
        <i x="0" s="1"/>
        <i x="3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11ED1360-E61D-4F81-9DBE-536EC491205D}" sourceName="Department">
  <pivotTables>
    <pivotTable tabId="20" name="PivotTable4"/>
    <pivotTable tabId="20" name="PivotTable3"/>
    <pivotTable tabId="20" name="PivotTable2"/>
    <pivotTable tabId="20" name="PivotTable1"/>
  </pivotTables>
  <data>
    <tabular pivotCacheId="1614887097">
      <items count="8">
        <i x="1" s="1"/>
        <i x="6" s="1"/>
        <i x="2" s="1"/>
        <i x="5" s="1"/>
        <i x="0" s="1"/>
        <i x="4" s="1"/>
        <i x="7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ppointment_Type2" xr10:uid="{304AFB76-1501-421C-8055-E45C0FE98A43}" sourceName="Appointment Type">
  <pivotTables>
    <pivotTable tabId="20" name="PivotTable4"/>
    <pivotTable tabId="20" name="PivotTable2"/>
    <pivotTable tabId="20" name="PivotTable3"/>
    <pivotTable tabId="20" name="PivotTable1"/>
  </pivotTables>
  <data>
    <tabular pivotCacheId="1614887097">
      <items count="3">
        <i x="2" s="1"/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bscription_Plan" xr10:uid="{6ADDD92C-C220-4EC8-A8A6-8626BBB7F76F}" sourceName="Subscription Plan">
  <pivotTables>
    <pivotTable tabId="20" name="PivotTable4"/>
    <pivotTable tabId="20" name="PivotTable1"/>
    <pivotTable tabId="20" name="PivotTable2"/>
    <pivotTable tabId="20" name="PivotTable3"/>
  </pivotTables>
  <data>
    <tabular pivotCacheId="1614887097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EB4B927E-866D-4E52-9400-8A1032CB308D}" cache="Slicer_Region1" caption="Region" columnCount="4" style="SlicerStyleOther2" rowHeight="228600"/>
  <slicer name="Department 1" xr10:uid="{9A073E16-99FB-402D-92DC-51007578FE89}" cache="Slicer_Department" caption="Department" style="SlicerStyleOther2" rowHeight="228600"/>
  <slicer name="Appointment Type 3" xr10:uid="{A342D694-769D-4DD6-BCB7-8D9D059D8327}" cache="Slicer_Appointment_Type2" caption="Appointment Type" columnCount="3" style="SlicerStyleOther2" rowHeight="228600"/>
  <slicer name="Subscription Plan 1" xr10:uid="{E6895F70-8757-4839-ABC8-1BDB218BE56F}" cache="Slicer_Subscription_Plan" caption="Subscription Plan" columnCount="3" style="SlicerStyleOther2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Relationship Id="rId9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workbookViewId="0">
      <selection sqref="A1:XFD1048576"/>
    </sheetView>
  </sheetViews>
  <sheetFormatPr defaultRowHeight="15"/>
  <cols>
    <col min="1" max="1" width="9.5703125" bestFit="1" customWidth="1"/>
    <col min="2" max="2" width="10.140625" bestFit="1" customWidth="1"/>
    <col min="3" max="3" width="14.5703125" bestFit="1" customWidth="1"/>
    <col min="4" max="4" width="4.28515625" bestFit="1" customWidth="1"/>
    <col min="5" max="5" width="7.42578125" bestFit="1" customWidth="1"/>
    <col min="6" max="6" width="7" bestFit="1" customWidth="1"/>
    <col min="7" max="7" width="12.7109375" bestFit="1" customWidth="1"/>
    <col min="8" max="8" width="19.140625" bestFit="1" customWidth="1"/>
    <col min="9" max="9" width="18.28515625" bestFit="1" customWidth="1"/>
    <col min="10" max="10" width="16.28515625" bestFit="1" customWidth="1"/>
    <col min="11" max="11" width="17.5703125" bestFit="1" customWidth="1"/>
    <col min="12" max="12" width="15.85546875" bestFit="1" customWidth="1"/>
    <col min="13" max="13" width="18.85546875" bestFit="1" customWidth="1"/>
    <col min="14" max="14" width="19.5703125" bestFit="1" customWidth="1"/>
    <col min="15" max="15" width="18" bestFit="1" customWidth="1"/>
    <col min="16" max="16" width="17.28515625" bestFit="1" customWidth="1"/>
    <col min="17" max="17" width="18.5703125" bestFit="1" customWidth="1"/>
    <col min="18" max="18" width="24.42578125" bestFit="1" customWidth="1"/>
    <col min="19" max="19" width="16.28515625" bestFit="1" customWidth="1"/>
    <col min="20" max="20" width="15" bestFit="1" customWidth="1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6" t="s">
        <v>20</v>
      </c>
      <c r="B2" s="3">
        <v>45785</v>
      </c>
      <c r="C2" s="6" t="s">
        <v>21</v>
      </c>
      <c r="D2" s="6">
        <v>20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6" t="s">
        <v>29</v>
      </c>
      <c r="M2" s="6" t="s">
        <v>30</v>
      </c>
      <c r="N2" s="6">
        <v>7</v>
      </c>
      <c r="O2" s="6">
        <v>13</v>
      </c>
      <c r="P2" s="6">
        <v>876</v>
      </c>
      <c r="Q2" s="6" t="s">
        <v>31</v>
      </c>
      <c r="R2" s="6" t="s">
        <v>31</v>
      </c>
      <c r="S2" s="6" t="s">
        <v>32</v>
      </c>
      <c r="T2" s="6">
        <v>4</v>
      </c>
    </row>
    <row r="3" spans="1:20">
      <c r="A3" s="6" t="s">
        <v>33</v>
      </c>
      <c r="B3" s="3">
        <v>45795</v>
      </c>
      <c r="C3" s="6" t="s">
        <v>34</v>
      </c>
      <c r="D3" s="6">
        <v>24</v>
      </c>
      <c r="E3" s="6" t="s">
        <v>22</v>
      </c>
      <c r="F3" s="6" t="s">
        <v>35</v>
      </c>
      <c r="G3" s="6" t="s">
        <v>36</v>
      </c>
      <c r="H3" s="6" t="s">
        <v>37</v>
      </c>
      <c r="I3" s="6" t="s">
        <v>38</v>
      </c>
      <c r="J3" s="6" t="s">
        <v>39</v>
      </c>
      <c r="K3" s="6" t="s">
        <v>28</v>
      </c>
      <c r="L3" s="6" t="s">
        <v>40</v>
      </c>
      <c r="M3" s="6" t="s">
        <v>30</v>
      </c>
      <c r="N3" s="6">
        <v>17</v>
      </c>
      <c r="O3" s="6">
        <v>6</v>
      </c>
      <c r="P3" s="6">
        <v>1135</v>
      </c>
      <c r="Q3" s="6" t="s">
        <v>31</v>
      </c>
      <c r="R3" s="6" t="s">
        <v>31</v>
      </c>
      <c r="S3" s="6" t="s">
        <v>41</v>
      </c>
      <c r="T3" s="6">
        <v>4.7</v>
      </c>
    </row>
    <row r="4" spans="1:20">
      <c r="A4" s="6" t="s">
        <v>42</v>
      </c>
      <c r="B4" s="3">
        <v>45783</v>
      </c>
      <c r="C4" s="6" t="s">
        <v>43</v>
      </c>
      <c r="D4" s="6">
        <v>20</v>
      </c>
      <c r="E4" s="6" t="s">
        <v>22</v>
      </c>
      <c r="F4" s="6" t="s">
        <v>23</v>
      </c>
      <c r="G4" s="6" t="s">
        <v>44</v>
      </c>
      <c r="H4" s="6" t="s">
        <v>45</v>
      </c>
      <c r="I4" s="6" t="s">
        <v>46</v>
      </c>
      <c r="J4" s="6" t="s">
        <v>27</v>
      </c>
      <c r="K4" s="6" t="s">
        <v>47</v>
      </c>
      <c r="L4" s="6" t="s">
        <v>40</v>
      </c>
      <c r="M4" s="6" t="s">
        <v>30</v>
      </c>
      <c r="N4" s="6">
        <v>14</v>
      </c>
      <c r="O4" s="6">
        <v>5</v>
      </c>
      <c r="P4" s="6">
        <v>876</v>
      </c>
      <c r="Q4" s="6" t="s">
        <v>31</v>
      </c>
      <c r="R4" s="6" t="s">
        <v>48</v>
      </c>
      <c r="S4" s="6" t="s">
        <v>49</v>
      </c>
      <c r="T4" s="6">
        <v>4.7</v>
      </c>
    </row>
    <row r="5" spans="1:20">
      <c r="A5" s="6" t="s">
        <v>50</v>
      </c>
      <c r="B5" s="3">
        <v>45790</v>
      </c>
      <c r="C5" s="6" t="s">
        <v>51</v>
      </c>
      <c r="D5" s="6">
        <v>28</v>
      </c>
      <c r="E5" s="6" t="s">
        <v>52</v>
      </c>
      <c r="F5" s="6" t="s">
        <v>53</v>
      </c>
      <c r="G5" s="6" t="s">
        <v>54</v>
      </c>
      <c r="H5" s="6" t="s">
        <v>55</v>
      </c>
      <c r="I5" s="6" t="s">
        <v>26</v>
      </c>
      <c r="J5" s="6" t="s">
        <v>27</v>
      </c>
      <c r="K5" s="6" t="s">
        <v>47</v>
      </c>
      <c r="L5" s="6" t="s">
        <v>40</v>
      </c>
      <c r="M5" s="6" t="s">
        <v>30</v>
      </c>
      <c r="N5" s="6">
        <v>17</v>
      </c>
      <c r="O5" s="6">
        <v>17</v>
      </c>
      <c r="P5" s="6">
        <v>849</v>
      </c>
      <c r="Q5" s="6" t="s">
        <v>31</v>
      </c>
      <c r="R5" s="6" t="s">
        <v>48</v>
      </c>
      <c r="S5" s="6" t="s">
        <v>49</v>
      </c>
      <c r="T5" s="6">
        <v>4.4000000000000004</v>
      </c>
    </row>
    <row r="6" spans="1:20">
      <c r="A6" s="6" t="s">
        <v>56</v>
      </c>
      <c r="B6" s="3">
        <v>45806</v>
      </c>
      <c r="C6" s="6" t="s">
        <v>57</v>
      </c>
      <c r="D6" s="6">
        <v>34</v>
      </c>
      <c r="E6" s="6" t="s">
        <v>22</v>
      </c>
      <c r="F6" s="6" t="s">
        <v>53</v>
      </c>
      <c r="G6" s="6" t="s">
        <v>58</v>
      </c>
      <c r="H6" s="6" t="s">
        <v>55</v>
      </c>
      <c r="I6" s="6" t="s">
        <v>59</v>
      </c>
      <c r="J6" s="6" t="s">
        <v>60</v>
      </c>
      <c r="K6" s="6" t="s">
        <v>28</v>
      </c>
      <c r="L6" s="6" t="s">
        <v>40</v>
      </c>
      <c r="M6" s="6" t="s">
        <v>61</v>
      </c>
      <c r="N6" s="6">
        <v>12</v>
      </c>
      <c r="O6" s="6">
        <v>0</v>
      </c>
      <c r="P6" s="6">
        <v>0</v>
      </c>
      <c r="Q6" s="6" t="s">
        <v>48</v>
      </c>
      <c r="R6" s="6" t="s">
        <v>48</v>
      </c>
      <c r="S6" s="6" t="s">
        <v>41</v>
      </c>
      <c r="T6" s="6">
        <v>2.73</v>
      </c>
    </row>
    <row r="7" spans="1:20">
      <c r="A7" s="6" t="s">
        <v>62</v>
      </c>
      <c r="B7" s="3">
        <v>45795</v>
      </c>
      <c r="C7" s="6" t="s">
        <v>63</v>
      </c>
      <c r="D7" s="6">
        <v>58</v>
      </c>
      <c r="E7" s="6" t="s">
        <v>22</v>
      </c>
      <c r="F7" s="6" t="s">
        <v>35</v>
      </c>
      <c r="G7" s="6" t="s">
        <v>64</v>
      </c>
      <c r="H7" s="6" t="s">
        <v>65</v>
      </c>
      <c r="I7" s="6" t="s">
        <v>66</v>
      </c>
      <c r="J7" s="6" t="s">
        <v>67</v>
      </c>
      <c r="K7" s="6" t="s">
        <v>47</v>
      </c>
      <c r="L7" s="6" t="s">
        <v>68</v>
      </c>
      <c r="M7" s="6" t="s">
        <v>30</v>
      </c>
      <c r="N7" s="6">
        <v>18</v>
      </c>
      <c r="O7" s="6">
        <v>38</v>
      </c>
      <c r="P7" s="6">
        <v>530</v>
      </c>
      <c r="Q7" s="6" t="s">
        <v>31</v>
      </c>
      <c r="R7" s="6" t="s">
        <v>48</v>
      </c>
      <c r="S7" s="6" t="s">
        <v>32</v>
      </c>
      <c r="T7" s="6">
        <v>3.8</v>
      </c>
    </row>
    <row r="8" spans="1:20">
      <c r="A8" s="6" t="s">
        <v>69</v>
      </c>
      <c r="B8" s="3">
        <v>45802</v>
      </c>
      <c r="C8" s="6" t="s">
        <v>70</v>
      </c>
      <c r="D8" s="6">
        <v>36</v>
      </c>
      <c r="E8" s="6" t="s">
        <v>52</v>
      </c>
      <c r="F8" s="6" t="s">
        <v>23</v>
      </c>
      <c r="G8" s="6" t="s">
        <v>71</v>
      </c>
      <c r="H8" s="6" t="s">
        <v>25</v>
      </c>
      <c r="I8" s="6" t="s">
        <v>72</v>
      </c>
      <c r="J8" s="6" t="s">
        <v>73</v>
      </c>
      <c r="K8" s="6" t="s">
        <v>47</v>
      </c>
      <c r="L8" s="6" t="s">
        <v>40</v>
      </c>
      <c r="M8" s="6" t="s">
        <v>74</v>
      </c>
      <c r="N8" s="6">
        <v>10</v>
      </c>
      <c r="O8" s="6">
        <v>0</v>
      </c>
      <c r="P8" s="6">
        <v>0</v>
      </c>
      <c r="Q8" s="6" t="s">
        <v>48</v>
      </c>
      <c r="R8" s="6" t="s">
        <v>48</v>
      </c>
      <c r="S8" s="6" t="s">
        <v>49</v>
      </c>
      <c r="T8" s="6">
        <v>2.73</v>
      </c>
    </row>
    <row r="9" spans="1:20">
      <c r="A9" s="6" t="s">
        <v>75</v>
      </c>
      <c r="B9" s="3">
        <v>45806</v>
      </c>
      <c r="C9" s="6" t="s">
        <v>76</v>
      </c>
      <c r="D9" s="6">
        <v>56</v>
      </c>
      <c r="E9" s="6" t="s">
        <v>52</v>
      </c>
      <c r="F9" s="6" t="s">
        <v>77</v>
      </c>
      <c r="G9" s="6" t="s">
        <v>78</v>
      </c>
      <c r="H9" s="6" t="s">
        <v>79</v>
      </c>
      <c r="I9" s="6" t="s">
        <v>80</v>
      </c>
      <c r="J9" s="6" t="s">
        <v>27</v>
      </c>
      <c r="K9" s="6" t="s">
        <v>47</v>
      </c>
      <c r="L9" s="6" t="s">
        <v>40</v>
      </c>
      <c r="M9" s="6" t="s">
        <v>30</v>
      </c>
      <c r="N9" s="6">
        <v>20</v>
      </c>
      <c r="O9" s="6">
        <v>1</v>
      </c>
      <c r="P9" s="6">
        <v>629</v>
      </c>
      <c r="Q9" s="6" t="s">
        <v>31</v>
      </c>
      <c r="R9" s="6" t="s">
        <v>48</v>
      </c>
      <c r="S9" s="6" t="s">
        <v>49</v>
      </c>
      <c r="T9" s="6">
        <v>4.9000000000000004</v>
      </c>
    </row>
    <row r="10" spans="1:20">
      <c r="A10" s="6" t="s">
        <v>81</v>
      </c>
      <c r="B10" s="3">
        <v>45792</v>
      </c>
      <c r="C10" s="6" t="s">
        <v>82</v>
      </c>
      <c r="D10" s="6">
        <v>34</v>
      </c>
      <c r="E10" s="6" t="s">
        <v>52</v>
      </c>
      <c r="F10" s="6" t="s">
        <v>23</v>
      </c>
      <c r="G10" s="6" t="s">
        <v>24</v>
      </c>
      <c r="H10" s="6" t="s">
        <v>25</v>
      </c>
      <c r="I10" s="6" t="s">
        <v>83</v>
      </c>
      <c r="J10" s="6" t="s">
        <v>84</v>
      </c>
      <c r="K10" s="6" t="s">
        <v>28</v>
      </c>
      <c r="L10" s="6" t="s">
        <v>40</v>
      </c>
      <c r="M10" s="6" t="s">
        <v>30</v>
      </c>
      <c r="N10" s="6">
        <v>11</v>
      </c>
      <c r="O10" s="6">
        <v>34</v>
      </c>
      <c r="P10" s="6">
        <v>811</v>
      </c>
      <c r="Q10" s="6" t="s">
        <v>48</v>
      </c>
      <c r="R10" s="6" t="s">
        <v>48</v>
      </c>
      <c r="S10" s="6" t="s">
        <v>49</v>
      </c>
      <c r="T10" s="6">
        <v>4.4000000000000004</v>
      </c>
    </row>
    <row r="11" spans="1:20">
      <c r="A11" s="6" t="s">
        <v>85</v>
      </c>
      <c r="B11" s="3">
        <v>45785</v>
      </c>
      <c r="C11" s="6" t="s">
        <v>86</v>
      </c>
      <c r="D11" s="6">
        <v>18</v>
      </c>
      <c r="E11" s="6" t="s">
        <v>22</v>
      </c>
      <c r="F11" s="6" t="s">
        <v>23</v>
      </c>
      <c r="G11" s="6" t="s">
        <v>24</v>
      </c>
      <c r="H11" s="6" t="s">
        <v>45</v>
      </c>
      <c r="I11" s="6" t="s">
        <v>87</v>
      </c>
      <c r="J11" s="6" t="s">
        <v>73</v>
      </c>
      <c r="K11" s="6" t="s">
        <v>88</v>
      </c>
      <c r="L11" s="6" t="s">
        <v>29</v>
      </c>
      <c r="M11" s="6" t="s">
        <v>30</v>
      </c>
      <c r="N11" s="6">
        <v>25</v>
      </c>
      <c r="O11" s="6">
        <v>3</v>
      </c>
      <c r="P11" s="6">
        <v>868</v>
      </c>
      <c r="Q11" s="6" t="s">
        <v>31</v>
      </c>
      <c r="R11" s="6" t="s">
        <v>31</v>
      </c>
      <c r="S11" s="6" t="s">
        <v>41</v>
      </c>
      <c r="T11" s="6">
        <v>3.1</v>
      </c>
    </row>
    <row r="12" spans="1:20">
      <c r="A12" s="6" t="s">
        <v>89</v>
      </c>
      <c r="B12" s="3">
        <v>45789</v>
      </c>
      <c r="C12" s="6" t="s">
        <v>90</v>
      </c>
      <c r="D12" s="6">
        <v>68</v>
      </c>
      <c r="E12" s="6" t="s">
        <v>52</v>
      </c>
      <c r="F12" s="6" t="s">
        <v>53</v>
      </c>
      <c r="G12" s="6" t="s">
        <v>91</v>
      </c>
      <c r="H12" s="6" t="s">
        <v>92</v>
      </c>
      <c r="I12" s="6" t="s">
        <v>93</v>
      </c>
      <c r="J12" s="6" t="s">
        <v>94</v>
      </c>
      <c r="K12" s="6" t="s">
        <v>47</v>
      </c>
      <c r="L12" s="6" t="s">
        <v>29</v>
      </c>
      <c r="M12" s="6" t="s">
        <v>61</v>
      </c>
      <c r="N12" s="6">
        <v>18</v>
      </c>
      <c r="O12" s="6">
        <v>0</v>
      </c>
      <c r="P12" s="6">
        <v>0</v>
      </c>
      <c r="Q12" s="6" t="s">
        <v>48</v>
      </c>
      <c r="R12" s="6" t="s">
        <v>48</v>
      </c>
      <c r="S12" s="6" t="s">
        <v>49</v>
      </c>
      <c r="T12" s="6">
        <v>2.73</v>
      </c>
    </row>
    <row r="13" spans="1:20">
      <c r="A13" s="6" t="s">
        <v>95</v>
      </c>
      <c r="B13" s="3">
        <v>45792</v>
      </c>
      <c r="C13" s="6" t="s">
        <v>96</v>
      </c>
      <c r="D13" s="6">
        <v>69</v>
      </c>
      <c r="E13" s="6" t="s">
        <v>22</v>
      </c>
      <c r="F13" s="6" t="s">
        <v>35</v>
      </c>
      <c r="G13" s="6" t="s">
        <v>64</v>
      </c>
      <c r="H13" s="6" t="s">
        <v>37</v>
      </c>
      <c r="I13" s="6" t="s">
        <v>97</v>
      </c>
      <c r="J13" s="6" t="s">
        <v>39</v>
      </c>
      <c r="K13" s="6" t="s">
        <v>47</v>
      </c>
      <c r="L13" s="6" t="s">
        <v>40</v>
      </c>
      <c r="M13" s="6" t="s">
        <v>30</v>
      </c>
      <c r="N13" s="6">
        <v>12</v>
      </c>
      <c r="O13" s="6">
        <v>12</v>
      </c>
      <c r="P13" s="6">
        <v>789</v>
      </c>
      <c r="Q13" s="6" t="s">
        <v>48</v>
      </c>
      <c r="R13" s="6" t="s">
        <v>31</v>
      </c>
      <c r="S13" s="6" t="s">
        <v>49</v>
      </c>
      <c r="T13" s="6">
        <v>4.0999999999999996</v>
      </c>
    </row>
    <row r="14" spans="1:20">
      <c r="A14" s="6" t="s">
        <v>98</v>
      </c>
      <c r="B14" s="3">
        <v>45783</v>
      </c>
      <c r="C14" s="6" t="s">
        <v>99</v>
      </c>
      <c r="D14" s="6">
        <v>28</v>
      </c>
      <c r="E14" s="6" t="s">
        <v>52</v>
      </c>
      <c r="F14" s="6" t="s">
        <v>77</v>
      </c>
      <c r="G14" s="6" t="s">
        <v>100</v>
      </c>
      <c r="H14" s="6" t="s">
        <v>101</v>
      </c>
      <c r="I14" s="6" t="s">
        <v>102</v>
      </c>
      <c r="J14" s="6" t="s">
        <v>73</v>
      </c>
      <c r="K14" s="6" t="s">
        <v>28</v>
      </c>
      <c r="L14" s="6" t="s">
        <v>40</v>
      </c>
      <c r="M14" s="6" t="s">
        <v>61</v>
      </c>
      <c r="N14" s="6">
        <v>20</v>
      </c>
      <c r="O14" s="6">
        <v>0</v>
      </c>
      <c r="P14" s="6">
        <v>0</v>
      </c>
      <c r="Q14" s="6" t="s">
        <v>31</v>
      </c>
      <c r="R14" s="6" t="s">
        <v>48</v>
      </c>
      <c r="S14" s="6" t="s">
        <v>49</v>
      </c>
      <c r="T14" s="6">
        <v>2.73</v>
      </c>
    </row>
    <row r="15" spans="1:20">
      <c r="A15" s="6" t="s">
        <v>103</v>
      </c>
      <c r="B15" s="3">
        <v>45779</v>
      </c>
      <c r="C15" s="6" t="s">
        <v>104</v>
      </c>
      <c r="D15" s="6">
        <v>27</v>
      </c>
      <c r="E15" s="6" t="s">
        <v>22</v>
      </c>
      <c r="F15" s="6" t="s">
        <v>35</v>
      </c>
      <c r="G15" s="6" t="s">
        <v>105</v>
      </c>
      <c r="H15" s="6" t="s">
        <v>37</v>
      </c>
      <c r="I15" s="6" t="s">
        <v>106</v>
      </c>
      <c r="J15" s="6" t="s">
        <v>27</v>
      </c>
      <c r="K15" s="6" t="s">
        <v>88</v>
      </c>
      <c r="L15" s="6" t="s">
        <v>68</v>
      </c>
      <c r="M15" s="6" t="s">
        <v>107</v>
      </c>
      <c r="N15" s="6">
        <v>14</v>
      </c>
      <c r="O15" s="6">
        <v>0</v>
      </c>
      <c r="P15" s="6">
        <v>0</v>
      </c>
      <c r="Q15" s="6" t="s">
        <v>48</v>
      </c>
      <c r="R15" s="6" t="s">
        <v>31</v>
      </c>
      <c r="S15" s="6" t="s">
        <v>41</v>
      </c>
      <c r="T15" s="6">
        <v>2.73</v>
      </c>
    </row>
    <row r="16" spans="1:20">
      <c r="A16" s="6" t="s">
        <v>108</v>
      </c>
      <c r="B16" s="3">
        <v>45796</v>
      </c>
      <c r="C16" s="6" t="s">
        <v>109</v>
      </c>
      <c r="D16" s="6">
        <v>22</v>
      </c>
      <c r="E16" s="6" t="s">
        <v>22</v>
      </c>
      <c r="F16" s="6" t="s">
        <v>53</v>
      </c>
      <c r="G16" s="6" t="s">
        <v>58</v>
      </c>
      <c r="H16" s="6" t="s">
        <v>55</v>
      </c>
      <c r="I16" s="6" t="s">
        <v>110</v>
      </c>
      <c r="J16" s="6" t="s">
        <v>84</v>
      </c>
      <c r="K16" s="6" t="s">
        <v>47</v>
      </c>
      <c r="L16" s="6" t="s">
        <v>40</v>
      </c>
      <c r="M16" s="6" t="s">
        <v>107</v>
      </c>
      <c r="N16" s="6">
        <v>12</v>
      </c>
      <c r="O16" s="6">
        <v>0</v>
      </c>
      <c r="P16" s="6">
        <v>0</v>
      </c>
      <c r="Q16" s="6" t="s">
        <v>31</v>
      </c>
      <c r="R16" s="6" t="s">
        <v>48</v>
      </c>
      <c r="S16" s="6" t="s">
        <v>32</v>
      </c>
      <c r="T16" s="6">
        <v>2.73</v>
      </c>
    </row>
    <row r="17" spans="1:20">
      <c r="A17" s="6" t="s">
        <v>111</v>
      </c>
      <c r="B17" s="3">
        <v>45778</v>
      </c>
      <c r="C17" s="6" t="s">
        <v>112</v>
      </c>
      <c r="D17" s="6">
        <v>60</v>
      </c>
      <c r="E17" s="6" t="s">
        <v>52</v>
      </c>
      <c r="F17" s="6" t="s">
        <v>23</v>
      </c>
      <c r="G17" s="6" t="s">
        <v>71</v>
      </c>
      <c r="H17" s="6" t="s">
        <v>45</v>
      </c>
      <c r="I17" s="6"/>
      <c r="J17" s="6" t="s">
        <v>113</v>
      </c>
      <c r="K17" s="6" t="s">
        <v>47</v>
      </c>
      <c r="L17" s="6" t="s">
        <v>40</v>
      </c>
      <c r="M17" s="6" t="s">
        <v>30</v>
      </c>
      <c r="N17" s="6">
        <v>12</v>
      </c>
      <c r="O17" s="6">
        <v>16</v>
      </c>
      <c r="P17" s="6">
        <v>1210</v>
      </c>
      <c r="Q17" s="6" t="s">
        <v>48</v>
      </c>
      <c r="R17" s="6" t="s">
        <v>48</v>
      </c>
      <c r="S17" s="6" t="s">
        <v>41</v>
      </c>
      <c r="T17" s="6">
        <v>3.3</v>
      </c>
    </row>
    <row r="18" spans="1:20">
      <c r="A18" s="6" t="s">
        <v>114</v>
      </c>
      <c r="B18" s="3">
        <v>45778</v>
      </c>
      <c r="C18" s="6" t="s">
        <v>115</v>
      </c>
      <c r="D18" s="6">
        <v>74</v>
      </c>
      <c r="E18" s="6" t="s">
        <v>22</v>
      </c>
      <c r="F18" s="6" t="s">
        <v>35</v>
      </c>
      <c r="G18" s="6" t="s">
        <v>36</v>
      </c>
      <c r="H18" s="6" t="s">
        <v>116</v>
      </c>
      <c r="I18" s="6" t="s">
        <v>59</v>
      </c>
      <c r="J18" s="6" t="s">
        <v>73</v>
      </c>
      <c r="K18" s="6" t="s">
        <v>28</v>
      </c>
      <c r="L18" s="6" t="s">
        <v>40</v>
      </c>
      <c r="M18" s="6" t="s">
        <v>30</v>
      </c>
      <c r="N18" s="6">
        <v>16</v>
      </c>
      <c r="O18" s="6">
        <v>18</v>
      </c>
      <c r="P18" s="6">
        <v>723</v>
      </c>
      <c r="Q18" s="6" t="s">
        <v>48</v>
      </c>
      <c r="R18" s="6" t="s">
        <v>48</v>
      </c>
      <c r="S18" s="6" t="s">
        <v>32</v>
      </c>
      <c r="T18" s="6">
        <v>3.9</v>
      </c>
    </row>
    <row r="19" spans="1:20">
      <c r="A19" s="6" t="s">
        <v>117</v>
      </c>
      <c r="B19" s="3">
        <v>45794</v>
      </c>
      <c r="C19" s="6" t="s">
        <v>118</v>
      </c>
      <c r="D19" s="6">
        <v>35</v>
      </c>
      <c r="E19" s="6" t="s">
        <v>52</v>
      </c>
      <c r="F19" s="6" t="s">
        <v>53</v>
      </c>
      <c r="G19" s="6" t="s">
        <v>91</v>
      </c>
      <c r="H19" s="6" t="s">
        <v>55</v>
      </c>
      <c r="I19" s="6" t="s">
        <v>119</v>
      </c>
      <c r="J19" s="6" t="s">
        <v>67</v>
      </c>
      <c r="K19" s="6" t="s">
        <v>88</v>
      </c>
      <c r="L19" s="6" t="s">
        <v>29</v>
      </c>
      <c r="M19" s="6" t="s">
        <v>74</v>
      </c>
      <c r="N19" s="6">
        <v>24</v>
      </c>
      <c r="O19" s="6">
        <v>0</v>
      </c>
      <c r="P19" s="6">
        <v>0</v>
      </c>
      <c r="Q19" s="6" t="s">
        <v>31</v>
      </c>
      <c r="R19" s="6" t="s">
        <v>31</v>
      </c>
      <c r="S19" s="6" t="s">
        <v>49</v>
      </c>
      <c r="T19" s="6">
        <v>2.73</v>
      </c>
    </row>
    <row r="20" spans="1:20">
      <c r="A20" s="6" t="s">
        <v>120</v>
      </c>
      <c r="B20" s="3">
        <v>45779</v>
      </c>
      <c r="C20" s="6" t="s">
        <v>121</v>
      </c>
      <c r="D20" s="6">
        <v>58</v>
      </c>
      <c r="E20" s="6" t="s">
        <v>52</v>
      </c>
      <c r="F20" s="6" t="s">
        <v>35</v>
      </c>
      <c r="G20" s="6" t="s">
        <v>64</v>
      </c>
      <c r="H20" s="6" t="s">
        <v>65</v>
      </c>
      <c r="I20" s="6" t="s">
        <v>122</v>
      </c>
      <c r="J20" s="6" t="s">
        <v>73</v>
      </c>
      <c r="K20" s="6" t="s">
        <v>47</v>
      </c>
      <c r="L20" s="6" t="s">
        <v>68</v>
      </c>
      <c r="M20" s="6" t="s">
        <v>30</v>
      </c>
      <c r="N20" s="6">
        <v>10</v>
      </c>
      <c r="O20" s="6">
        <v>28</v>
      </c>
      <c r="P20" s="6">
        <v>1275</v>
      </c>
      <c r="Q20" s="6" t="s">
        <v>48</v>
      </c>
      <c r="R20" s="6" t="s">
        <v>48</v>
      </c>
      <c r="S20" s="6" t="s">
        <v>49</v>
      </c>
      <c r="T20" s="6">
        <v>4.0999999999999996</v>
      </c>
    </row>
    <row r="21" spans="1:20">
      <c r="A21" s="6" t="s">
        <v>123</v>
      </c>
      <c r="B21" s="3">
        <v>45807</v>
      </c>
      <c r="C21" s="6" t="s">
        <v>124</v>
      </c>
      <c r="D21" s="6">
        <v>75</v>
      </c>
      <c r="E21" s="6" t="s">
        <v>52</v>
      </c>
      <c r="F21" s="6" t="s">
        <v>53</v>
      </c>
      <c r="G21" s="6" t="s">
        <v>91</v>
      </c>
      <c r="H21" s="6" t="s">
        <v>125</v>
      </c>
      <c r="I21" s="6" t="s">
        <v>126</v>
      </c>
      <c r="J21" s="6" t="s">
        <v>67</v>
      </c>
      <c r="K21" s="6" t="s">
        <v>88</v>
      </c>
      <c r="L21" s="6" t="s">
        <v>29</v>
      </c>
      <c r="M21" s="6" t="s">
        <v>30</v>
      </c>
      <c r="N21" s="6">
        <v>11</v>
      </c>
      <c r="O21" s="6">
        <v>43</v>
      </c>
      <c r="P21" s="6">
        <v>911</v>
      </c>
      <c r="Q21" s="6" t="s">
        <v>31</v>
      </c>
      <c r="R21" s="6" t="s">
        <v>31</v>
      </c>
      <c r="S21" s="6" t="s">
        <v>32</v>
      </c>
      <c r="T21" s="6">
        <v>4.3</v>
      </c>
    </row>
    <row r="22" spans="1:20">
      <c r="A22" s="6" t="s">
        <v>127</v>
      </c>
      <c r="B22" s="3">
        <v>45787</v>
      </c>
      <c r="C22" s="6" t="s">
        <v>43</v>
      </c>
      <c r="D22" s="6">
        <v>35</v>
      </c>
      <c r="E22" s="6" t="s">
        <v>22</v>
      </c>
      <c r="F22" s="6" t="s">
        <v>77</v>
      </c>
      <c r="G22" s="6" t="s">
        <v>100</v>
      </c>
      <c r="H22" s="6" t="s">
        <v>79</v>
      </c>
      <c r="I22" s="6" t="s">
        <v>128</v>
      </c>
      <c r="J22" s="6" t="s">
        <v>113</v>
      </c>
      <c r="K22" s="6" t="s">
        <v>28</v>
      </c>
      <c r="L22" s="6" t="s">
        <v>29</v>
      </c>
      <c r="M22" s="6" t="s">
        <v>30</v>
      </c>
      <c r="N22" s="6">
        <v>8</v>
      </c>
      <c r="O22" s="6">
        <v>24</v>
      </c>
      <c r="P22" s="6">
        <v>479</v>
      </c>
      <c r="Q22" s="6" t="s">
        <v>48</v>
      </c>
      <c r="R22" s="6" t="s">
        <v>48</v>
      </c>
      <c r="S22" s="6" t="s">
        <v>49</v>
      </c>
      <c r="T22" s="6">
        <v>4.7</v>
      </c>
    </row>
    <row r="23" spans="1:20">
      <c r="A23" s="6" t="s">
        <v>129</v>
      </c>
      <c r="B23" s="3">
        <v>45779</v>
      </c>
      <c r="C23" s="6" t="s">
        <v>130</v>
      </c>
      <c r="D23" s="6">
        <v>40</v>
      </c>
      <c r="E23" s="6" t="s">
        <v>52</v>
      </c>
      <c r="F23" s="6" t="s">
        <v>77</v>
      </c>
      <c r="G23" s="6" t="s">
        <v>100</v>
      </c>
      <c r="H23" s="6" t="s">
        <v>79</v>
      </c>
      <c r="I23" s="6" t="s">
        <v>131</v>
      </c>
      <c r="J23" s="6" t="s">
        <v>94</v>
      </c>
      <c r="K23" s="6" t="s">
        <v>88</v>
      </c>
      <c r="L23" s="6" t="s">
        <v>68</v>
      </c>
      <c r="M23" s="6" t="s">
        <v>30</v>
      </c>
      <c r="N23" s="6">
        <v>22</v>
      </c>
      <c r="O23" s="6">
        <v>21</v>
      </c>
      <c r="P23" s="6">
        <v>456</v>
      </c>
      <c r="Q23" s="6" t="s">
        <v>48</v>
      </c>
      <c r="R23" s="6" t="s">
        <v>31</v>
      </c>
      <c r="S23" s="6" t="s">
        <v>32</v>
      </c>
      <c r="T23" s="6">
        <v>3.2</v>
      </c>
    </row>
    <row r="24" spans="1:20">
      <c r="A24" s="6" t="s">
        <v>132</v>
      </c>
      <c r="B24" s="3">
        <v>45807</v>
      </c>
      <c r="C24" s="6" t="s">
        <v>133</v>
      </c>
      <c r="D24" s="6">
        <v>75</v>
      </c>
      <c r="E24" s="6" t="s">
        <v>22</v>
      </c>
      <c r="F24" s="6" t="s">
        <v>23</v>
      </c>
      <c r="G24" s="6" t="s">
        <v>71</v>
      </c>
      <c r="H24" s="6" t="s">
        <v>134</v>
      </c>
      <c r="I24" s="6" t="s">
        <v>135</v>
      </c>
      <c r="J24" s="6" t="s">
        <v>60</v>
      </c>
      <c r="K24" s="6" t="s">
        <v>47</v>
      </c>
      <c r="L24" s="6" t="s">
        <v>68</v>
      </c>
      <c r="M24" s="6" t="s">
        <v>107</v>
      </c>
      <c r="N24" s="6">
        <v>13</v>
      </c>
      <c r="O24" s="6">
        <v>0</v>
      </c>
      <c r="P24" s="6">
        <v>0</v>
      </c>
      <c r="Q24" s="6" t="s">
        <v>31</v>
      </c>
      <c r="R24" s="6" t="s">
        <v>31</v>
      </c>
      <c r="S24" s="6" t="s">
        <v>41</v>
      </c>
      <c r="T24" s="6">
        <v>2.73</v>
      </c>
    </row>
    <row r="25" spans="1:20">
      <c r="A25" s="6" t="s">
        <v>136</v>
      </c>
      <c r="B25" s="3">
        <v>45799</v>
      </c>
      <c r="C25" s="6" t="s">
        <v>137</v>
      </c>
      <c r="D25" s="6">
        <v>50</v>
      </c>
      <c r="E25" s="6" t="s">
        <v>52</v>
      </c>
      <c r="F25" s="6" t="s">
        <v>77</v>
      </c>
      <c r="G25" s="6" t="s">
        <v>138</v>
      </c>
      <c r="H25" s="6" t="s">
        <v>101</v>
      </c>
      <c r="I25" s="6" t="s">
        <v>139</v>
      </c>
      <c r="J25" s="6" t="s">
        <v>73</v>
      </c>
      <c r="K25" s="6" t="s">
        <v>47</v>
      </c>
      <c r="L25" s="6" t="s">
        <v>68</v>
      </c>
      <c r="M25" s="6" t="s">
        <v>30</v>
      </c>
      <c r="N25" s="6">
        <v>18</v>
      </c>
      <c r="O25" s="6">
        <v>20</v>
      </c>
      <c r="P25" s="6">
        <v>1224</v>
      </c>
      <c r="Q25" s="6" t="s">
        <v>31</v>
      </c>
      <c r="R25" s="6" t="s">
        <v>31</v>
      </c>
      <c r="S25" s="6" t="s">
        <v>49</v>
      </c>
      <c r="T25" s="6">
        <v>4.4000000000000004</v>
      </c>
    </row>
    <row r="26" spans="1:20">
      <c r="A26" s="6" t="s">
        <v>140</v>
      </c>
      <c r="B26" s="3">
        <v>45803</v>
      </c>
      <c r="C26" s="6" t="s">
        <v>141</v>
      </c>
      <c r="D26" s="6">
        <v>36</v>
      </c>
      <c r="E26" s="6" t="s">
        <v>22</v>
      </c>
      <c r="F26" s="6" t="s">
        <v>35</v>
      </c>
      <c r="G26" s="6" t="s">
        <v>36</v>
      </c>
      <c r="H26" s="6" t="s">
        <v>116</v>
      </c>
      <c r="I26" s="6" t="s">
        <v>102</v>
      </c>
      <c r="J26" s="6" t="s">
        <v>67</v>
      </c>
      <c r="K26" s="6" t="s">
        <v>47</v>
      </c>
      <c r="L26" s="6" t="s">
        <v>40</v>
      </c>
      <c r="M26" s="6" t="s">
        <v>30</v>
      </c>
      <c r="N26" s="6">
        <v>18</v>
      </c>
      <c r="O26" s="6">
        <v>37</v>
      </c>
      <c r="P26" s="6">
        <v>1059</v>
      </c>
      <c r="Q26" s="6" t="s">
        <v>31</v>
      </c>
      <c r="R26" s="6" t="s">
        <v>31</v>
      </c>
      <c r="S26" s="6" t="s">
        <v>41</v>
      </c>
      <c r="T26" s="6">
        <v>3.9</v>
      </c>
    </row>
    <row r="27" spans="1:20">
      <c r="A27" s="6" t="s">
        <v>142</v>
      </c>
      <c r="B27" s="3">
        <v>45806</v>
      </c>
      <c r="C27" s="6" t="s">
        <v>143</v>
      </c>
      <c r="D27" s="6">
        <v>32</v>
      </c>
      <c r="E27" s="6" t="s">
        <v>22</v>
      </c>
      <c r="F27" s="6" t="s">
        <v>77</v>
      </c>
      <c r="G27" s="6" t="s">
        <v>78</v>
      </c>
      <c r="H27" s="6" t="s">
        <v>79</v>
      </c>
      <c r="I27" s="6" t="s">
        <v>144</v>
      </c>
      <c r="J27" s="6" t="s">
        <v>27</v>
      </c>
      <c r="K27" s="6" t="s">
        <v>47</v>
      </c>
      <c r="L27" s="6" t="s">
        <v>40</v>
      </c>
      <c r="M27" s="6" t="s">
        <v>30</v>
      </c>
      <c r="N27" s="6">
        <v>9</v>
      </c>
      <c r="O27" s="6">
        <v>1</v>
      </c>
      <c r="P27" s="6">
        <v>494</v>
      </c>
      <c r="Q27" s="6" t="s">
        <v>31</v>
      </c>
      <c r="R27" s="6" t="s">
        <v>31</v>
      </c>
      <c r="S27" s="6" t="s">
        <v>49</v>
      </c>
      <c r="T27" s="6">
        <v>3.5</v>
      </c>
    </row>
    <row r="28" spans="1:20">
      <c r="A28" s="6" t="s">
        <v>145</v>
      </c>
      <c r="B28" s="3">
        <v>45785</v>
      </c>
      <c r="C28" s="6" t="s">
        <v>146</v>
      </c>
      <c r="D28" s="6">
        <v>75</v>
      </c>
      <c r="E28" s="6" t="s">
        <v>22</v>
      </c>
      <c r="F28" s="6" t="s">
        <v>77</v>
      </c>
      <c r="G28" s="6" t="s">
        <v>78</v>
      </c>
      <c r="H28" s="6" t="s">
        <v>147</v>
      </c>
      <c r="I28" s="6" t="s">
        <v>148</v>
      </c>
      <c r="J28" s="6" t="s">
        <v>113</v>
      </c>
      <c r="K28" s="6" t="s">
        <v>88</v>
      </c>
      <c r="L28" s="6" t="s">
        <v>68</v>
      </c>
      <c r="M28" s="6" t="s">
        <v>30</v>
      </c>
      <c r="N28" s="6">
        <v>18</v>
      </c>
      <c r="O28" s="6">
        <v>14</v>
      </c>
      <c r="P28" s="6">
        <v>760</v>
      </c>
      <c r="Q28" s="6" t="s">
        <v>31</v>
      </c>
      <c r="R28" s="6" t="s">
        <v>31</v>
      </c>
      <c r="S28" s="6" t="s">
        <v>32</v>
      </c>
      <c r="T28" s="6">
        <v>4.5999999999999996</v>
      </c>
    </row>
    <row r="29" spans="1:20">
      <c r="A29" s="6" t="s">
        <v>149</v>
      </c>
      <c r="B29" s="3">
        <v>45798</v>
      </c>
      <c r="C29" s="6" t="s">
        <v>141</v>
      </c>
      <c r="D29" s="6">
        <v>71</v>
      </c>
      <c r="E29" s="6" t="s">
        <v>52</v>
      </c>
      <c r="F29" s="6" t="s">
        <v>23</v>
      </c>
      <c r="G29" s="6" t="s">
        <v>44</v>
      </c>
      <c r="H29" s="6" t="s">
        <v>45</v>
      </c>
      <c r="I29" s="6" t="s">
        <v>150</v>
      </c>
      <c r="J29" s="6" t="s">
        <v>84</v>
      </c>
      <c r="K29" s="6" t="s">
        <v>47</v>
      </c>
      <c r="L29" s="6" t="s">
        <v>40</v>
      </c>
      <c r="M29" s="6" t="s">
        <v>30</v>
      </c>
      <c r="N29" s="6">
        <v>10</v>
      </c>
      <c r="O29" s="6">
        <v>30</v>
      </c>
      <c r="P29" s="6">
        <v>1321</v>
      </c>
      <c r="Q29" s="6" t="s">
        <v>48</v>
      </c>
      <c r="R29" s="6" t="s">
        <v>31</v>
      </c>
      <c r="S29" s="6" t="s">
        <v>49</v>
      </c>
      <c r="T29" s="6">
        <v>3.5</v>
      </c>
    </row>
    <row r="30" spans="1:20">
      <c r="A30" s="6" t="s">
        <v>151</v>
      </c>
      <c r="B30" s="3">
        <v>45795</v>
      </c>
      <c r="C30" s="6" t="s">
        <v>152</v>
      </c>
      <c r="D30" s="6">
        <v>27</v>
      </c>
      <c r="E30" s="6" t="s">
        <v>22</v>
      </c>
      <c r="F30" s="6" t="s">
        <v>77</v>
      </c>
      <c r="G30" s="6" t="s">
        <v>138</v>
      </c>
      <c r="H30" s="6" t="s">
        <v>101</v>
      </c>
      <c r="I30" s="6" t="s">
        <v>153</v>
      </c>
      <c r="J30" s="6" t="s">
        <v>73</v>
      </c>
      <c r="K30" s="6" t="s">
        <v>47</v>
      </c>
      <c r="L30" s="6" t="s">
        <v>68</v>
      </c>
      <c r="M30" s="6" t="s">
        <v>30</v>
      </c>
      <c r="N30" s="6">
        <v>17</v>
      </c>
      <c r="O30" s="6">
        <v>44</v>
      </c>
      <c r="P30" s="6">
        <v>712</v>
      </c>
      <c r="Q30" s="6" t="s">
        <v>31</v>
      </c>
      <c r="R30" s="6" t="s">
        <v>48</v>
      </c>
      <c r="S30" s="6" t="s">
        <v>32</v>
      </c>
      <c r="T30" s="6">
        <v>4.4000000000000004</v>
      </c>
    </row>
    <row r="31" spans="1:20">
      <c r="A31" s="6" t="s">
        <v>154</v>
      </c>
      <c r="B31" s="3">
        <v>45803</v>
      </c>
      <c r="C31" s="6" t="s">
        <v>155</v>
      </c>
      <c r="D31" s="6">
        <v>72</v>
      </c>
      <c r="E31" s="6" t="s">
        <v>52</v>
      </c>
      <c r="F31" s="6" t="s">
        <v>35</v>
      </c>
      <c r="G31" s="6" t="s">
        <v>64</v>
      </c>
      <c r="H31" s="6" t="s">
        <v>65</v>
      </c>
      <c r="I31" s="6" t="s">
        <v>156</v>
      </c>
      <c r="J31" s="6" t="s">
        <v>94</v>
      </c>
      <c r="K31" s="6" t="s">
        <v>88</v>
      </c>
      <c r="L31" s="6" t="s">
        <v>68</v>
      </c>
      <c r="M31" s="6" t="s">
        <v>30</v>
      </c>
      <c r="N31" s="6">
        <v>20</v>
      </c>
      <c r="O31" s="6">
        <v>0</v>
      </c>
      <c r="P31" s="6">
        <v>1120</v>
      </c>
      <c r="Q31" s="6" t="s">
        <v>31</v>
      </c>
      <c r="R31" s="6" t="s">
        <v>31</v>
      </c>
      <c r="S31" s="6" t="s">
        <v>49</v>
      </c>
      <c r="T31" s="6">
        <v>3.6</v>
      </c>
    </row>
    <row r="32" spans="1:20">
      <c r="A32" s="6" t="s">
        <v>157</v>
      </c>
      <c r="B32" s="3">
        <v>45782</v>
      </c>
      <c r="C32" s="6" t="s">
        <v>158</v>
      </c>
      <c r="D32" s="6">
        <v>64</v>
      </c>
      <c r="E32" s="6" t="s">
        <v>22</v>
      </c>
      <c r="F32" s="6" t="s">
        <v>77</v>
      </c>
      <c r="G32" s="6" t="s">
        <v>138</v>
      </c>
      <c r="H32" s="6" t="s">
        <v>79</v>
      </c>
      <c r="I32" s="6" t="s">
        <v>159</v>
      </c>
      <c r="J32" s="6" t="s">
        <v>27</v>
      </c>
      <c r="K32" s="6" t="s">
        <v>88</v>
      </c>
      <c r="L32" s="6" t="s">
        <v>68</v>
      </c>
      <c r="M32" s="6" t="s">
        <v>30</v>
      </c>
      <c r="N32" s="6">
        <v>19</v>
      </c>
      <c r="O32" s="6">
        <v>8</v>
      </c>
      <c r="P32" s="6">
        <v>1493</v>
      </c>
      <c r="Q32" s="6" t="s">
        <v>48</v>
      </c>
      <c r="R32" s="6" t="s">
        <v>31</v>
      </c>
      <c r="S32" s="6" t="s">
        <v>32</v>
      </c>
      <c r="T32" s="6">
        <v>3.1</v>
      </c>
    </row>
    <row r="33" spans="1:20">
      <c r="A33" s="6" t="s">
        <v>160</v>
      </c>
      <c r="B33" s="3">
        <v>45798</v>
      </c>
      <c r="C33" s="6" t="s">
        <v>161</v>
      </c>
      <c r="D33" s="6">
        <v>35</v>
      </c>
      <c r="E33" s="6" t="s">
        <v>52</v>
      </c>
      <c r="F33" s="6" t="s">
        <v>35</v>
      </c>
      <c r="G33" s="6" t="s">
        <v>105</v>
      </c>
      <c r="H33" s="6" t="s">
        <v>65</v>
      </c>
      <c r="I33" s="6" t="s">
        <v>162</v>
      </c>
      <c r="J33" s="6" t="s">
        <v>27</v>
      </c>
      <c r="K33" s="6" t="s">
        <v>88</v>
      </c>
      <c r="L33" s="6" t="s">
        <v>68</v>
      </c>
      <c r="M33" s="6" t="s">
        <v>30</v>
      </c>
      <c r="N33" s="6">
        <v>13</v>
      </c>
      <c r="O33" s="6">
        <v>5</v>
      </c>
      <c r="P33" s="6">
        <v>1363</v>
      </c>
      <c r="Q33" s="6" t="s">
        <v>48</v>
      </c>
      <c r="R33" s="6" t="s">
        <v>31</v>
      </c>
      <c r="S33" s="6" t="s">
        <v>32</v>
      </c>
      <c r="T33" s="6">
        <v>3</v>
      </c>
    </row>
    <row r="34" spans="1:20">
      <c r="A34" s="6" t="s">
        <v>163</v>
      </c>
      <c r="B34" s="3">
        <v>45808</v>
      </c>
      <c r="C34" s="6" t="s">
        <v>164</v>
      </c>
      <c r="D34" s="6">
        <v>48</v>
      </c>
      <c r="E34" s="6" t="s">
        <v>22</v>
      </c>
      <c r="F34" s="6" t="s">
        <v>23</v>
      </c>
      <c r="G34" s="6" t="s">
        <v>71</v>
      </c>
      <c r="H34" s="6" t="s">
        <v>45</v>
      </c>
      <c r="I34" s="6" t="s">
        <v>165</v>
      </c>
      <c r="J34" s="6" t="s">
        <v>39</v>
      </c>
      <c r="K34" s="6" t="s">
        <v>28</v>
      </c>
      <c r="L34" s="6" t="s">
        <v>29</v>
      </c>
      <c r="M34" s="6" t="s">
        <v>30</v>
      </c>
      <c r="N34" s="6">
        <v>23</v>
      </c>
      <c r="O34" s="6">
        <v>13</v>
      </c>
      <c r="P34" s="6">
        <v>1352</v>
      </c>
      <c r="Q34" s="6" t="s">
        <v>31</v>
      </c>
      <c r="R34" s="6" t="s">
        <v>48</v>
      </c>
      <c r="S34" s="6" t="s">
        <v>49</v>
      </c>
      <c r="T34" s="6">
        <v>4.4000000000000004</v>
      </c>
    </row>
    <row r="35" spans="1:20">
      <c r="A35" s="6" t="s">
        <v>166</v>
      </c>
      <c r="B35" s="3">
        <v>45789</v>
      </c>
      <c r="C35" s="6" t="s">
        <v>167</v>
      </c>
      <c r="D35" s="6">
        <v>63</v>
      </c>
      <c r="E35" s="6" t="s">
        <v>22</v>
      </c>
      <c r="F35" s="6" t="s">
        <v>23</v>
      </c>
      <c r="G35" s="6" t="s">
        <v>24</v>
      </c>
      <c r="H35" s="6" t="s">
        <v>134</v>
      </c>
      <c r="I35" s="6" t="s">
        <v>168</v>
      </c>
      <c r="J35" s="6" t="s">
        <v>73</v>
      </c>
      <c r="K35" s="6" t="s">
        <v>47</v>
      </c>
      <c r="L35" s="6" t="s">
        <v>29</v>
      </c>
      <c r="M35" s="6" t="s">
        <v>30</v>
      </c>
      <c r="N35" s="6">
        <v>7</v>
      </c>
      <c r="O35" s="6">
        <v>37</v>
      </c>
      <c r="P35" s="6">
        <v>897</v>
      </c>
      <c r="Q35" s="6" t="s">
        <v>48</v>
      </c>
      <c r="R35" s="6" t="s">
        <v>31</v>
      </c>
      <c r="S35" s="6" t="s">
        <v>49</v>
      </c>
      <c r="T35" s="6">
        <v>3.2</v>
      </c>
    </row>
    <row r="36" spans="1:20">
      <c r="A36" s="6" t="s">
        <v>169</v>
      </c>
      <c r="B36" s="3">
        <v>45801</v>
      </c>
      <c r="C36" s="6" t="s">
        <v>170</v>
      </c>
      <c r="D36" s="6">
        <v>45</v>
      </c>
      <c r="E36" s="6" t="s">
        <v>52</v>
      </c>
      <c r="F36" s="6" t="s">
        <v>35</v>
      </c>
      <c r="G36" s="6" t="s">
        <v>36</v>
      </c>
      <c r="H36" s="6" t="s">
        <v>37</v>
      </c>
      <c r="I36" s="6" t="s">
        <v>171</v>
      </c>
      <c r="J36" s="6" t="s">
        <v>73</v>
      </c>
      <c r="K36" s="6" t="s">
        <v>47</v>
      </c>
      <c r="L36" s="6" t="s">
        <v>40</v>
      </c>
      <c r="M36" s="6" t="s">
        <v>61</v>
      </c>
      <c r="N36" s="6">
        <v>25</v>
      </c>
      <c r="O36" s="6">
        <v>0</v>
      </c>
      <c r="P36" s="6">
        <v>0</v>
      </c>
      <c r="Q36" s="6" t="s">
        <v>48</v>
      </c>
      <c r="R36" s="6" t="s">
        <v>48</v>
      </c>
      <c r="S36" s="6" t="s">
        <v>41</v>
      </c>
      <c r="T36" s="6">
        <v>2.73</v>
      </c>
    </row>
    <row r="37" spans="1:20">
      <c r="A37" s="6" t="s">
        <v>172</v>
      </c>
      <c r="B37" s="3">
        <v>45793</v>
      </c>
      <c r="C37" s="6" t="s">
        <v>173</v>
      </c>
      <c r="D37" s="6">
        <v>72</v>
      </c>
      <c r="E37" s="6" t="s">
        <v>22</v>
      </c>
      <c r="F37" s="6" t="s">
        <v>53</v>
      </c>
      <c r="G37" s="6" t="s">
        <v>91</v>
      </c>
      <c r="H37" s="6" t="s">
        <v>125</v>
      </c>
      <c r="I37" s="6" t="s">
        <v>174</v>
      </c>
      <c r="J37" s="6" t="s">
        <v>84</v>
      </c>
      <c r="K37" s="6" t="s">
        <v>88</v>
      </c>
      <c r="L37" s="6" t="s">
        <v>68</v>
      </c>
      <c r="M37" s="6" t="s">
        <v>30</v>
      </c>
      <c r="N37" s="6">
        <v>7</v>
      </c>
      <c r="O37" s="6">
        <v>17</v>
      </c>
      <c r="P37" s="6">
        <v>1323</v>
      </c>
      <c r="Q37" s="6" t="s">
        <v>48</v>
      </c>
      <c r="R37" s="6" t="s">
        <v>31</v>
      </c>
      <c r="S37" s="6" t="s">
        <v>49</v>
      </c>
      <c r="T37" s="6">
        <v>3.5</v>
      </c>
    </row>
    <row r="38" spans="1:20">
      <c r="A38" s="6" t="s">
        <v>175</v>
      </c>
      <c r="B38" s="3">
        <v>45793</v>
      </c>
      <c r="C38" s="6" t="s">
        <v>176</v>
      </c>
      <c r="D38" s="6">
        <v>53</v>
      </c>
      <c r="E38" s="6" t="s">
        <v>22</v>
      </c>
      <c r="F38" s="6" t="s">
        <v>53</v>
      </c>
      <c r="G38" s="6" t="s">
        <v>58</v>
      </c>
      <c r="H38" s="6" t="s">
        <v>92</v>
      </c>
      <c r="I38" s="6" t="s">
        <v>93</v>
      </c>
      <c r="J38" s="6" t="s">
        <v>94</v>
      </c>
      <c r="K38" s="6" t="s">
        <v>88</v>
      </c>
      <c r="L38" s="6" t="s">
        <v>68</v>
      </c>
      <c r="M38" s="6" t="s">
        <v>61</v>
      </c>
      <c r="N38" s="6">
        <v>21</v>
      </c>
      <c r="O38" s="6">
        <v>0</v>
      </c>
      <c r="P38" s="6">
        <v>0</v>
      </c>
      <c r="Q38" s="6" t="s">
        <v>48</v>
      </c>
      <c r="R38" s="6" t="s">
        <v>31</v>
      </c>
      <c r="S38" s="6" t="s">
        <v>41</v>
      </c>
      <c r="T38" s="6">
        <v>2.73</v>
      </c>
    </row>
    <row r="39" spans="1:20">
      <c r="A39" s="6" t="s">
        <v>177</v>
      </c>
      <c r="B39" s="3">
        <v>45786</v>
      </c>
      <c r="C39" s="6" t="s">
        <v>178</v>
      </c>
      <c r="D39" s="6">
        <v>37</v>
      </c>
      <c r="E39" s="6" t="s">
        <v>52</v>
      </c>
      <c r="F39" s="6" t="s">
        <v>77</v>
      </c>
      <c r="G39" s="6" t="s">
        <v>78</v>
      </c>
      <c r="H39" s="6" t="s">
        <v>101</v>
      </c>
      <c r="I39" s="6" t="s">
        <v>179</v>
      </c>
      <c r="J39" s="6" t="s">
        <v>84</v>
      </c>
      <c r="K39" s="6" t="s">
        <v>88</v>
      </c>
      <c r="L39" s="6" t="s">
        <v>29</v>
      </c>
      <c r="M39" s="6" t="s">
        <v>30</v>
      </c>
      <c r="N39" s="6">
        <v>20</v>
      </c>
      <c r="O39" s="6">
        <v>35</v>
      </c>
      <c r="P39" s="6">
        <v>1487</v>
      </c>
      <c r="Q39" s="6" t="s">
        <v>31</v>
      </c>
      <c r="R39" s="6" t="s">
        <v>31</v>
      </c>
      <c r="S39" s="6" t="s">
        <v>32</v>
      </c>
      <c r="T39" s="6">
        <v>3.7</v>
      </c>
    </row>
    <row r="40" spans="1:20">
      <c r="A40" s="6" t="s">
        <v>180</v>
      </c>
      <c r="B40" s="3">
        <v>45787</v>
      </c>
      <c r="C40" s="6" t="s">
        <v>181</v>
      </c>
      <c r="D40" s="6">
        <v>31</v>
      </c>
      <c r="E40" s="6" t="s">
        <v>52</v>
      </c>
      <c r="F40" s="6" t="s">
        <v>53</v>
      </c>
      <c r="G40" s="6" t="s">
        <v>54</v>
      </c>
      <c r="H40" s="6" t="s">
        <v>55</v>
      </c>
      <c r="I40" s="6" t="s">
        <v>38</v>
      </c>
      <c r="J40" s="6" t="s">
        <v>73</v>
      </c>
      <c r="K40" s="6" t="s">
        <v>47</v>
      </c>
      <c r="L40" s="6" t="s">
        <v>29</v>
      </c>
      <c r="M40" s="6" t="s">
        <v>74</v>
      </c>
      <c r="N40" s="6">
        <v>13</v>
      </c>
      <c r="O40" s="6">
        <v>0</v>
      </c>
      <c r="P40" s="6">
        <v>0</v>
      </c>
      <c r="Q40" s="6" t="s">
        <v>31</v>
      </c>
      <c r="R40" s="6" t="s">
        <v>48</v>
      </c>
      <c r="S40" s="6" t="s">
        <v>41</v>
      </c>
      <c r="T40" s="6">
        <v>2.73</v>
      </c>
    </row>
    <row r="41" spans="1:20">
      <c r="A41" s="6" t="s">
        <v>182</v>
      </c>
      <c r="B41" s="3">
        <v>45792</v>
      </c>
      <c r="C41" s="6" t="s">
        <v>183</v>
      </c>
      <c r="D41" s="6">
        <v>62</v>
      </c>
      <c r="E41" s="6" t="s">
        <v>22</v>
      </c>
      <c r="F41" s="6" t="s">
        <v>77</v>
      </c>
      <c r="G41" s="6" t="s">
        <v>138</v>
      </c>
      <c r="H41" s="6" t="s">
        <v>79</v>
      </c>
      <c r="I41" s="6" t="s">
        <v>38</v>
      </c>
      <c r="J41" s="6" t="s">
        <v>27</v>
      </c>
      <c r="K41" s="6" t="s">
        <v>28</v>
      </c>
      <c r="L41" s="6" t="s">
        <v>40</v>
      </c>
      <c r="M41" s="6" t="s">
        <v>30</v>
      </c>
      <c r="N41" s="6">
        <v>25</v>
      </c>
      <c r="O41" s="6">
        <v>31</v>
      </c>
      <c r="P41" s="6">
        <v>610</v>
      </c>
      <c r="Q41" s="6" t="s">
        <v>31</v>
      </c>
      <c r="R41" s="6" t="s">
        <v>31</v>
      </c>
      <c r="S41" s="6" t="s">
        <v>41</v>
      </c>
      <c r="T41" s="6">
        <v>4.7</v>
      </c>
    </row>
    <row r="42" spans="1:20">
      <c r="A42" s="6" t="s">
        <v>184</v>
      </c>
      <c r="B42" s="3">
        <v>45797</v>
      </c>
      <c r="C42" s="6" t="s">
        <v>21</v>
      </c>
      <c r="D42" s="6">
        <v>54</v>
      </c>
      <c r="E42" s="6" t="s">
        <v>22</v>
      </c>
      <c r="F42" s="6" t="s">
        <v>53</v>
      </c>
      <c r="G42" s="6" t="s">
        <v>58</v>
      </c>
      <c r="H42" s="6" t="s">
        <v>55</v>
      </c>
      <c r="I42" s="6" t="s">
        <v>93</v>
      </c>
      <c r="J42" s="6" t="s">
        <v>27</v>
      </c>
      <c r="K42" s="6" t="s">
        <v>88</v>
      </c>
      <c r="L42" s="6" t="s">
        <v>29</v>
      </c>
      <c r="M42" s="6" t="s">
        <v>30</v>
      </c>
      <c r="N42" s="6">
        <v>9</v>
      </c>
      <c r="O42" s="6">
        <v>9</v>
      </c>
      <c r="P42" s="6">
        <v>1022</v>
      </c>
      <c r="Q42" s="6" t="s">
        <v>31</v>
      </c>
      <c r="R42" s="6" t="s">
        <v>31</v>
      </c>
      <c r="S42" s="6" t="s">
        <v>49</v>
      </c>
      <c r="T42" s="6">
        <v>3.2</v>
      </c>
    </row>
    <row r="43" spans="1:20">
      <c r="A43" s="6" t="s">
        <v>185</v>
      </c>
      <c r="B43" s="3">
        <v>45799</v>
      </c>
      <c r="C43" s="6" t="s">
        <v>118</v>
      </c>
      <c r="D43" s="6">
        <v>54</v>
      </c>
      <c r="E43" s="6" t="s">
        <v>22</v>
      </c>
      <c r="F43" s="6" t="s">
        <v>77</v>
      </c>
      <c r="G43" s="6" t="s">
        <v>78</v>
      </c>
      <c r="H43" s="6" t="s">
        <v>101</v>
      </c>
      <c r="I43" s="6" t="s">
        <v>186</v>
      </c>
      <c r="J43" s="6" t="s">
        <v>84</v>
      </c>
      <c r="K43" s="6" t="s">
        <v>88</v>
      </c>
      <c r="L43" s="6" t="s">
        <v>68</v>
      </c>
      <c r="M43" s="6" t="s">
        <v>107</v>
      </c>
      <c r="N43" s="6">
        <v>24</v>
      </c>
      <c r="O43" s="6">
        <v>0</v>
      </c>
      <c r="P43" s="6">
        <v>0</v>
      </c>
      <c r="Q43" s="6" t="s">
        <v>48</v>
      </c>
      <c r="R43" s="6" t="s">
        <v>31</v>
      </c>
      <c r="S43" s="6" t="s">
        <v>49</v>
      </c>
      <c r="T43" s="6">
        <v>2.73</v>
      </c>
    </row>
    <row r="44" spans="1:20">
      <c r="A44" s="6" t="s">
        <v>187</v>
      </c>
      <c r="B44" s="3">
        <v>45803</v>
      </c>
      <c r="C44" s="6" t="s">
        <v>188</v>
      </c>
      <c r="D44" s="6">
        <v>20</v>
      </c>
      <c r="E44" s="6" t="s">
        <v>22</v>
      </c>
      <c r="F44" s="6" t="s">
        <v>23</v>
      </c>
      <c r="G44" s="6" t="s">
        <v>24</v>
      </c>
      <c r="H44" s="6" t="s">
        <v>45</v>
      </c>
      <c r="I44" s="6" t="s">
        <v>144</v>
      </c>
      <c r="J44" s="6" t="s">
        <v>67</v>
      </c>
      <c r="K44" s="6" t="s">
        <v>47</v>
      </c>
      <c r="L44" s="6" t="s">
        <v>29</v>
      </c>
      <c r="M44" s="6" t="s">
        <v>30</v>
      </c>
      <c r="N44" s="6">
        <v>14</v>
      </c>
      <c r="O44" s="6">
        <v>45</v>
      </c>
      <c r="P44" s="6">
        <v>979</v>
      </c>
      <c r="Q44" s="6" t="s">
        <v>48</v>
      </c>
      <c r="R44" s="6" t="s">
        <v>31</v>
      </c>
      <c r="S44" s="6" t="s">
        <v>32</v>
      </c>
      <c r="T44" s="6">
        <v>4.4000000000000004</v>
      </c>
    </row>
    <row r="45" spans="1:20">
      <c r="A45" s="6" t="s">
        <v>189</v>
      </c>
      <c r="B45" s="3">
        <v>45792</v>
      </c>
      <c r="C45" s="6" t="s">
        <v>190</v>
      </c>
      <c r="D45" s="6">
        <v>28</v>
      </c>
      <c r="E45" s="6" t="s">
        <v>52</v>
      </c>
      <c r="F45" s="6" t="s">
        <v>77</v>
      </c>
      <c r="G45" s="6" t="s">
        <v>138</v>
      </c>
      <c r="H45" s="6" t="s">
        <v>79</v>
      </c>
      <c r="I45" s="6" t="s">
        <v>38</v>
      </c>
      <c r="J45" s="6" t="s">
        <v>94</v>
      </c>
      <c r="K45" s="6" t="s">
        <v>47</v>
      </c>
      <c r="L45" s="6" t="s">
        <v>29</v>
      </c>
      <c r="M45" s="6" t="s">
        <v>61</v>
      </c>
      <c r="N45" s="6">
        <v>24</v>
      </c>
      <c r="O45" s="6">
        <v>0</v>
      </c>
      <c r="P45" s="6">
        <v>0</v>
      </c>
      <c r="Q45" s="6" t="s">
        <v>31</v>
      </c>
      <c r="R45" s="6" t="s">
        <v>48</v>
      </c>
      <c r="S45" s="6" t="s">
        <v>49</v>
      </c>
      <c r="T45" s="6">
        <v>2.73</v>
      </c>
    </row>
    <row r="46" spans="1:20">
      <c r="A46" s="6" t="s">
        <v>191</v>
      </c>
      <c r="B46" s="3">
        <v>45779</v>
      </c>
      <c r="C46" s="6" t="s">
        <v>192</v>
      </c>
      <c r="D46" s="6">
        <v>65</v>
      </c>
      <c r="E46" s="6" t="s">
        <v>52</v>
      </c>
      <c r="F46" s="6" t="s">
        <v>53</v>
      </c>
      <c r="G46" s="6" t="s">
        <v>91</v>
      </c>
      <c r="H46" s="6" t="s">
        <v>92</v>
      </c>
      <c r="I46" s="6" t="s">
        <v>193</v>
      </c>
      <c r="J46" s="6" t="s">
        <v>27</v>
      </c>
      <c r="K46" s="6" t="s">
        <v>47</v>
      </c>
      <c r="L46" s="6" t="s">
        <v>40</v>
      </c>
      <c r="M46" s="6" t="s">
        <v>30</v>
      </c>
      <c r="N46" s="6">
        <v>24</v>
      </c>
      <c r="O46" s="6">
        <v>16</v>
      </c>
      <c r="P46" s="6">
        <v>452</v>
      </c>
      <c r="Q46" s="6" t="s">
        <v>31</v>
      </c>
      <c r="R46" s="6" t="s">
        <v>31</v>
      </c>
      <c r="S46" s="6" t="s">
        <v>41</v>
      </c>
      <c r="T46" s="6">
        <v>3.2</v>
      </c>
    </row>
    <row r="47" spans="1:20">
      <c r="A47" s="6" t="s">
        <v>194</v>
      </c>
      <c r="B47" s="3">
        <v>45800</v>
      </c>
      <c r="C47" s="6" t="s">
        <v>195</v>
      </c>
      <c r="D47" s="6">
        <v>23</v>
      </c>
      <c r="E47" s="6" t="s">
        <v>52</v>
      </c>
      <c r="F47" s="6" t="s">
        <v>77</v>
      </c>
      <c r="G47" s="6" t="s">
        <v>138</v>
      </c>
      <c r="H47" s="6" t="s">
        <v>147</v>
      </c>
      <c r="I47" s="6" t="s">
        <v>196</v>
      </c>
      <c r="J47" s="6" t="s">
        <v>84</v>
      </c>
      <c r="K47" s="6" t="s">
        <v>88</v>
      </c>
      <c r="L47" s="6" t="s">
        <v>29</v>
      </c>
      <c r="M47" s="6" t="s">
        <v>30</v>
      </c>
      <c r="N47" s="6">
        <v>16</v>
      </c>
      <c r="O47" s="6">
        <v>26</v>
      </c>
      <c r="P47" s="6">
        <v>1082</v>
      </c>
      <c r="Q47" s="6" t="s">
        <v>48</v>
      </c>
      <c r="R47" s="6" t="s">
        <v>31</v>
      </c>
      <c r="S47" s="6" t="s">
        <v>49</v>
      </c>
      <c r="T47" s="6">
        <v>3.6</v>
      </c>
    </row>
    <row r="48" spans="1:20">
      <c r="A48" s="6" t="s">
        <v>197</v>
      </c>
      <c r="B48" s="3">
        <v>45798</v>
      </c>
      <c r="C48" s="6" t="s">
        <v>198</v>
      </c>
      <c r="D48" s="6">
        <v>67</v>
      </c>
      <c r="E48" s="6" t="s">
        <v>52</v>
      </c>
      <c r="F48" s="6" t="s">
        <v>35</v>
      </c>
      <c r="G48" s="6" t="s">
        <v>64</v>
      </c>
      <c r="H48" s="6" t="s">
        <v>116</v>
      </c>
      <c r="I48" s="6" t="s">
        <v>119</v>
      </c>
      <c r="J48" s="6" t="s">
        <v>113</v>
      </c>
      <c r="K48" s="6" t="s">
        <v>47</v>
      </c>
      <c r="L48" s="6" t="s">
        <v>29</v>
      </c>
      <c r="M48" s="6" t="s">
        <v>30</v>
      </c>
      <c r="N48" s="6">
        <v>21</v>
      </c>
      <c r="O48" s="6">
        <v>0</v>
      </c>
      <c r="P48" s="6">
        <v>1346</v>
      </c>
      <c r="Q48" s="6" t="s">
        <v>48</v>
      </c>
      <c r="R48" s="6" t="s">
        <v>48</v>
      </c>
      <c r="S48" s="6" t="s">
        <v>41</v>
      </c>
      <c r="T48" s="6">
        <v>3.8</v>
      </c>
    </row>
    <row r="49" spans="1:20">
      <c r="A49" s="6" t="s">
        <v>199</v>
      </c>
      <c r="B49" s="3">
        <v>45808</v>
      </c>
      <c r="C49" s="6" t="s">
        <v>200</v>
      </c>
      <c r="D49" s="6">
        <v>19</v>
      </c>
      <c r="E49" s="6" t="s">
        <v>22</v>
      </c>
      <c r="F49" s="6" t="s">
        <v>35</v>
      </c>
      <c r="G49" s="6" t="s">
        <v>105</v>
      </c>
      <c r="H49" s="6" t="s">
        <v>65</v>
      </c>
      <c r="I49" s="6" t="s">
        <v>186</v>
      </c>
      <c r="J49" s="6" t="s">
        <v>27</v>
      </c>
      <c r="K49" s="6" t="s">
        <v>47</v>
      </c>
      <c r="L49" s="6" t="s">
        <v>29</v>
      </c>
      <c r="M49" s="6" t="s">
        <v>30</v>
      </c>
      <c r="N49" s="6">
        <v>10</v>
      </c>
      <c r="O49" s="6">
        <v>19</v>
      </c>
      <c r="P49" s="6">
        <v>428</v>
      </c>
      <c r="Q49" s="6" t="s">
        <v>48</v>
      </c>
      <c r="R49" s="6" t="s">
        <v>48</v>
      </c>
      <c r="S49" s="6" t="s">
        <v>49</v>
      </c>
      <c r="T49" s="6">
        <v>4.0999999999999996</v>
      </c>
    </row>
    <row r="50" spans="1:20">
      <c r="A50" s="6" t="s">
        <v>201</v>
      </c>
      <c r="B50" s="3">
        <v>45802</v>
      </c>
      <c r="C50" s="6" t="s">
        <v>202</v>
      </c>
      <c r="D50" s="6">
        <v>33</v>
      </c>
      <c r="E50" s="6" t="s">
        <v>52</v>
      </c>
      <c r="F50" s="6" t="s">
        <v>23</v>
      </c>
      <c r="G50" s="6" t="s">
        <v>71</v>
      </c>
      <c r="H50" s="6" t="s">
        <v>45</v>
      </c>
      <c r="I50" s="6" t="s">
        <v>203</v>
      </c>
      <c r="J50" s="6" t="s">
        <v>84</v>
      </c>
      <c r="K50" s="6" t="s">
        <v>47</v>
      </c>
      <c r="L50" s="6" t="s">
        <v>68</v>
      </c>
      <c r="M50" s="6" t="s">
        <v>30</v>
      </c>
      <c r="N50" s="6">
        <v>22</v>
      </c>
      <c r="O50" s="6">
        <v>9</v>
      </c>
      <c r="P50" s="6">
        <v>1185</v>
      </c>
      <c r="Q50" s="6" t="s">
        <v>48</v>
      </c>
      <c r="R50" s="6" t="s">
        <v>31</v>
      </c>
      <c r="S50" s="6" t="s">
        <v>41</v>
      </c>
      <c r="T50" s="6">
        <v>3.4</v>
      </c>
    </row>
    <row r="51" spans="1:20">
      <c r="A51" s="6" t="s">
        <v>204</v>
      </c>
      <c r="B51" s="3">
        <v>45805</v>
      </c>
      <c r="C51" s="6" t="s">
        <v>43</v>
      </c>
      <c r="D51" s="6">
        <v>46</v>
      </c>
      <c r="E51" s="6" t="s">
        <v>52</v>
      </c>
      <c r="F51" s="6" t="s">
        <v>35</v>
      </c>
      <c r="G51" s="6" t="s">
        <v>64</v>
      </c>
      <c r="H51" s="6" t="s">
        <v>116</v>
      </c>
      <c r="I51" s="6" t="s">
        <v>126</v>
      </c>
      <c r="J51" s="6" t="s">
        <v>27</v>
      </c>
      <c r="K51" s="6" t="s">
        <v>28</v>
      </c>
      <c r="L51" s="6" t="s">
        <v>68</v>
      </c>
      <c r="M51" s="6" t="s">
        <v>61</v>
      </c>
      <c r="N51" s="6">
        <v>16</v>
      </c>
      <c r="O51" s="6">
        <v>0</v>
      </c>
      <c r="P51" s="6">
        <v>0</v>
      </c>
      <c r="Q51" s="6" t="s">
        <v>48</v>
      </c>
      <c r="R51" s="6" t="s">
        <v>48</v>
      </c>
      <c r="S51" s="6" t="s">
        <v>49</v>
      </c>
      <c r="T51" s="6">
        <v>2.73</v>
      </c>
    </row>
    <row r="52" spans="1:20">
      <c r="A52" s="6" t="s">
        <v>205</v>
      </c>
      <c r="B52" s="3">
        <v>45788</v>
      </c>
      <c r="C52" s="6" t="s">
        <v>206</v>
      </c>
      <c r="D52" s="6">
        <v>60</v>
      </c>
      <c r="E52" s="6" t="s">
        <v>22</v>
      </c>
      <c r="F52" s="6" t="s">
        <v>77</v>
      </c>
      <c r="G52" s="6" t="s">
        <v>78</v>
      </c>
      <c r="H52" s="6" t="s">
        <v>79</v>
      </c>
      <c r="I52" s="6" t="s">
        <v>207</v>
      </c>
      <c r="J52" s="6" t="s">
        <v>113</v>
      </c>
      <c r="K52" s="6" t="s">
        <v>28</v>
      </c>
      <c r="L52" s="6" t="s">
        <v>68</v>
      </c>
      <c r="M52" s="6" t="s">
        <v>74</v>
      </c>
      <c r="N52" s="6">
        <v>20</v>
      </c>
      <c r="O52" s="6">
        <v>0</v>
      </c>
      <c r="P52" s="6">
        <v>0</v>
      </c>
      <c r="Q52" s="6" t="s">
        <v>48</v>
      </c>
      <c r="R52" s="6" t="s">
        <v>31</v>
      </c>
      <c r="S52" s="6" t="s">
        <v>32</v>
      </c>
      <c r="T52" s="6">
        <v>2.73</v>
      </c>
    </row>
    <row r="53" spans="1:20">
      <c r="A53" s="6" t="s">
        <v>208</v>
      </c>
      <c r="B53" s="3">
        <v>45805</v>
      </c>
      <c r="C53" s="6" t="s">
        <v>209</v>
      </c>
      <c r="D53" s="6">
        <v>48</v>
      </c>
      <c r="E53" s="6" t="s">
        <v>52</v>
      </c>
      <c r="F53" s="6" t="s">
        <v>23</v>
      </c>
      <c r="G53" s="6" t="s">
        <v>44</v>
      </c>
      <c r="H53" s="6" t="s">
        <v>45</v>
      </c>
      <c r="I53" s="6" t="s">
        <v>210</v>
      </c>
      <c r="J53" s="6" t="s">
        <v>84</v>
      </c>
      <c r="K53" s="6" t="s">
        <v>28</v>
      </c>
      <c r="L53" s="6" t="s">
        <v>40</v>
      </c>
      <c r="M53" s="6" t="s">
        <v>61</v>
      </c>
      <c r="N53" s="6">
        <v>15</v>
      </c>
      <c r="O53" s="6">
        <v>0</v>
      </c>
      <c r="P53" s="6">
        <v>0</v>
      </c>
      <c r="Q53" s="6" t="s">
        <v>31</v>
      </c>
      <c r="R53" s="6" t="s">
        <v>48</v>
      </c>
      <c r="S53" s="6" t="s">
        <v>32</v>
      </c>
      <c r="T53" s="6">
        <v>2.73</v>
      </c>
    </row>
    <row r="54" spans="1:20">
      <c r="A54" s="6" t="s">
        <v>211</v>
      </c>
      <c r="B54" s="3">
        <v>45803</v>
      </c>
      <c r="C54" s="6" t="s">
        <v>51</v>
      </c>
      <c r="D54" s="6">
        <v>65</v>
      </c>
      <c r="E54" s="6" t="s">
        <v>22</v>
      </c>
      <c r="F54" s="6" t="s">
        <v>35</v>
      </c>
      <c r="G54" s="6" t="s">
        <v>64</v>
      </c>
      <c r="H54" s="6" t="s">
        <v>116</v>
      </c>
      <c r="I54" s="6" t="s">
        <v>212</v>
      </c>
      <c r="J54" s="6" t="s">
        <v>84</v>
      </c>
      <c r="K54" s="6" t="s">
        <v>47</v>
      </c>
      <c r="L54" s="6" t="s">
        <v>29</v>
      </c>
      <c r="M54" s="6" t="s">
        <v>30</v>
      </c>
      <c r="N54" s="6">
        <v>18</v>
      </c>
      <c r="O54" s="6">
        <v>6</v>
      </c>
      <c r="P54" s="6">
        <v>605</v>
      </c>
      <c r="Q54" s="6" t="s">
        <v>48</v>
      </c>
      <c r="R54" s="6" t="s">
        <v>48</v>
      </c>
      <c r="S54" s="6" t="s">
        <v>49</v>
      </c>
      <c r="T54" s="6">
        <v>3.9</v>
      </c>
    </row>
    <row r="55" spans="1:20">
      <c r="A55" s="6" t="s">
        <v>213</v>
      </c>
      <c r="B55" s="3">
        <v>45785</v>
      </c>
      <c r="C55" s="6" t="s">
        <v>214</v>
      </c>
      <c r="D55" s="6">
        <v>28</v>
      </c>
      <c r="E55" s="6" t="s">
        <v>22</v>
      </c>
      <c r="F55" s="6" t="s">
        <v>23</v>
      </c>
      <c r="G55" s="6" t="s">
        <v>44</v>
      </c>
      <c r="H55" s="6" t="s">
        <v>134</v>
      </c>
      <c r="I55" s="6" t="s">
        <v>215</v>
      </c>
      <c r="J55" s="6" t="s">
        <v>60</v>
      </c>
      <c r="K55" s="6" t="s">
        <v>88</v>
      </c>
      <c r="L55" s="6" t="s">
        <v>29</v>
      </c>
      <c r="M55" s="6" t="s">
        <v>30</v>
      </c>
      <c r="N55" s="6">
        <v>7</v>
      </c>
      <c r="O55" s="6">
        <v>39</v>
      </c>
      <c r="P55" s="6">
        <v>1183</v>
      </c>
      <c r="Q55" s="6" t="s">
        <v>31</v>
      </c>
      <c r="R55" s="6" t="s">
        <v>31</v>
      </c>
      <c r="S55" s="6" t="s">
        <v>32</v>
      </c>
      <c r="T55" s="6">
        <v>4.2</v>
      </c>
    </row>
    <row r="56" spans="1:20">
      <c r="A56" s="6" t="s">
        <v>216</v>
      </c>
      <c r="B56" s="3">
        <v>45798</v>
      </c>
      <c r="C56" s="6" t="s">
        <v>130</v>
      </c>
      <c r="D56" s="6">
        <v>61</v>
      </c>
      <c r="E56" s="6" t="s">
        <v>22</v>
      </c>
      <c r="F56" s="6" t="s">
        <v>35</v>
      </c>
      <c r="G56" s="6" t="s">
        <v>36</v>
      </c>
      <c r="H56" s="6" t="s">
        <v>37</v>
      </c>
      <c r="I56" s="6" t="s">
        <v>217</v>
      </c>
      <c r="J56" s="6" t="s">
        <v>84</v>
      </c>
      <c r="K56" s="6" t="s">
        <v>88</v>
      </c>
      <c r="L56" s="6" t="s">
        <v>40</v>
      </c>
      <c r="M56" s="6" t="s">
        <v>61</v>
      </c>
      <c r="N56" s="6">
        <v>7</v>
      </c>
      <c r="O56" s="6">
        <v>0</v>
      </c>
      <c r="P56" s="6">
        <v>0</v>
      </c>
      <c r="Q56" s="6" t="s">
        <v>48</v>
      </c>
      <c r="R56" s="6" t="s">
        <v>31</v>
      </c>
      <c r="S56" s="6" t="s">
        <v>32</v>
      </c>
      <c r="T56" s="6">
        <v>2.73</v>
      </c>
    </row>
    <row r="57" spans="1:20">
      <c r="A57" s="6" t="s">
        <v>218</v>
      </c>
      <c r="B57" s="3">
        <v>45804</v>
      </c>
      <c r="C57" s="6" t="s">
        <v>219</v>
      </c>
      <c r="D57" s="6">
        <v>33</v>
      </c>
      <c r="E57" s="6" t="s">
        <v>52</v>
      </c>
      <c r="F57" s="6" t="s">
        <v>35</v>
      </c>
      <c r="G57" s="6" t="s">
        <v>36</v>
      </c>
      <c r="H57" s="6" t="s">
        <v>37</v>
      </c>
      <c r="I57" s="6" t="s">
        <v>220</v>
      </c>
      <c r="J57" s="6" t="s">
        <v>84</v>
      </c>
      <c r="K57" s="6" t="s">
        <v>88</v>
      </c>
      <c r="L57" s="6" t="s">
        <v>29</v>
      </c>
      <c r="M57" s="6" t="s">
        <v>61</v>
      </c>
      <c r="N57" s="6">
        <v>23</v>
      </c>
      <c r="O57" s="6">
        <v>0</v>
      </c>
      <c r="P57" s="6">
        <v>0</v>
      </c>
      <c r="Q57" s="6" t="s">
        <v>31</v>
      </c>
      <c r="R57" s="6" t="s">
        <v>31</v>
      </c>
      <c r="S57" s="6" t="s">
        <v>49</v>
      </c>
      <c r="T57" s="6">
        <v>2.73</v>
      </c>
    </row>
    <row r="58" spans="1:20">
      <c r="A58" s="6" t="s">
        <v>221</v>
      </c>
      <c r="B58" s="3">
        <v>45806</v>
      </c>
      <c r="C58" s="6" t="s">
        <v>222</v>
      </c>
      <c r="D58" s="6">
        <v>56</v>
      </c>
      <c r="E58" s="6" t="s">
        <v>52</v>
      </c>
      <c r="F58" s="6" t="s">
        <v>35</v>
      </c>
      <c r="G58" s="6" t="s">
        <v>64</v>
      </c>
      <c r="H58" s="6" t="s">
        <v>65</v>
      </c>
      <c r="I58" s="6" t="s">
        <v>150</v>
      </c>
      <c r="J58" s="6" t="s">
        <v>39</v>
      </c>
      <c r="K58" s="6" t="s">
        <v>47</v>
      </c>
      <c r="L58" s="6" t="s">
        <v>40</v>
      </c>
      <c r="M58" s="6" t="s">
        <v>107</v>
      </c>
      <c r="N58" s="6">
        <v>12</v>
      </c>
      <c r="O58" s="6">
        <v>0</v>
      </c>
      <c r="P58" s="6">
        <v>0</v>
      </c>
      <c r="Q58" s="6" t="s">
        <v>48</v>
      </c>
      <c r="R58" s="6" t="s">
        <v>48</v>
      </c>
      <c r="S58" s="6" t="s">
        <v>41</v>
      </c>
      <c r="T58" s="6">
        <v>2.73</v>
      </c>
    </row>
    <row r="59" spans="1:20">
      <c r="A59" s="6" t="s">
        <v>223</v>
      </c>
      <c r="B59" s="3">
        <v>45807</v>
      </c>
      <c r="C59" s="6" t="s">
        <v>96</v>
      </c>
      <c r="D59" s="6">
        <v>65</v>
      </c>
      <c r="E59" s="6" t="s">
        <v>52</v>
      </c>
      <c r="F59" s="6" t="s">
        <v>23</v>
      </c>
      <c r="G59" s="6" t="s">
        <v>44</v>
      </c>
      <c r="H59" s="6" t="s">
        <v>134</v>
      </c>
      <c r="I59" s="6" t="s">
        <v>220</v>
      </c>
      <c r="J59" s="6" t="s">
        <v>39</v>
      </c>
      <c r="K59" s="6" t="s">
        <v>47</v>
      </c>
      <c r="L59" s="6" t="s">
        <v>68</v>
      </c>
      <c r="M59" s="6" t="s">
        <v>30</v>
      </c>
      <c r="N59" s="6">
        <v>10</v>
      </c>
      <c r="O59" s="6">
        <v>12</v>
      </c>
      <c r="P59" s="6">
        <v>670</v>
      </c>
      <c r="Q59" s="6" t="s">
        <v>48</v>
      </c>
      <c r="R59" s="6" t="s">
        <v>31</v>
      </c>
      <c r="S59" s="6" t="s">
        <v>49</v>
      </c>
      <c r="T59" s="6">
        <v>4.5999999999999996</v>
      </c>
    </row>
    <row r="60" spans="1:20">
      <c r="A60" s="6" t="s">
        <v>224</v>
      </c>
      <c r="B60" s="3">
        <v>45796</v>
      </c>
      <c r="C60" s="6" t="s">
        <v>225</v>
      </c>
      <c r="D60" s="6">
        <v>72</v>
      </c>
      <c r="E60" s="6" t="s">
        <v>52</v>
      </c>
      <c r="F60" s="6" t="s">
        <v>35</v>
      </c>
      <c r="G60" s="6" t="s">
        <v>64</v>
      </c>
      <c r="H60" s="6" t="s">
        <v>116</v>
      </c>
      <c r="I60" s="6" t="s">
        <v>226</v>
      </c>
      <c r="J60" s="6" t="s">
        <v>60</v>
      </c>
      <c r="K60" s="6" t="s">
        <v>28</v>
      </c>
      <c r="L60" s="6" t="s">
        <v>68</v>
      </c>
      <c r="M60" s="6" t="s">
        <v>30</v>
      </c>
      <c r="N60" s="6">
        <v>7</v>
      </c>
      <c r="O60" s="6">
        <v>25</v>
      </c>
      <c r="P60" s="6">
        <v>428</v>
      </c>
      <c r="Q60" s="6" t="s">
        <v>31</v>
      </c>
      <c r="R60" s="6" t="s">
        <v>31</v>
      </c>
      <c r="S60" s="6" t="s">
        <v>49</v>
      </c>
      <c r="T60" s="6">
        <v>3.5</v>
      </c>
    </row>
    <row r="61" spans="1:20">
      <c r="A61" s="6" t="s">
        <v>227</v>
      </c>
      <c r="B61" s="3">
        <v>45787</v>
      </c>
      <c r="C61" s="6" t="s">
        <v>228</v>
      </c>
      <c r="D61" s="6">
        <v>59</v>
      </c>
      <c r="E61" s="6" t="s">
        <v>22</v>
      </c>
      <c r="F61" s="6" t="s">
        <v>35</v>
      </c>
      <c r="G61" s="6" t="s">
        <v>36</v>
      </c>
      <c r="H61" s="6" t="s">
        <v>37</v>
      </c>
      <c r="I61" s="6" t="s">
        <v>196</v>
      </c>
      <c r="J61" s="6" t="s">
        <v>73</v>
      </c>
      <c r="K61" s="6" t="s">
        <v>47</v>
      </c>
      <c r="L61" s="6" t="s">
        <v>29</v>
      </c>
      <c r="M61" s="6" t="s">
        <v>30</v>
      </c>
      <c r="N61" s="6">
        <v>25</v>
      </c>
      <c r="O61" s="6">
        <v>29</v>
      </c>
      <c r="P61" s="6">
        <v>1018</v>
      </c>
      <c r="Q61" s="6" t="s">
        <v>48</v>
      </c>
      <c r="R61" s="6" t="s">
        <v>48</v>
      </c>
      <c r="S61" s="6" t="s">
        <v>41</v>
      </c>
      <c r="T61" s="6">
        <v>4.3</v>
      </c>
    </row>
    <row r="62" spans="1:20">
      <c r="A62" s="6" t="s">
        <v>229</v>
      </c>
      <c r="B62" s="3">
        <v>45792</v>
      </c>
      <c r="C62" s="6" t="s">
        <v>161</v>
      </c>
      <c r="D62" s="6">
        <v>74</v>
      </c>
      <c r="E62" s="6" t="s">
        <v>52</v>
      </c>
      <c r="F62" s="6" t="s">
        <v>35</v>
      </c>
      <c r="G62" s="6" t="s">
        <v>105</v>
      </c>
      <c r="H62" s="6" t="s">
        <v>65</v>
      </c>
      <c r="I62" s="6" t="s">
        <v>212</v>
      </c>
      <c r="J62" s="6" t="s">
        <v>94</v>
      </c>
      <c r="K62" s="6" t="s">
        <v>47</v>
      </c>
      <c r="L62" s="6" t="s">
        <v>29</v>
      </c>
      <c r="M62" s="6" t="s">
        <v>30</v>
      </c>
      <c r="N62" s="6">
        <v>25</v>
      </c>
      <c r="O62" s="6">
        <v>6</v>
      </c>
      <c r="P62" s="6">
        <v>1402</v>
      </c>
      <c r="Q62" s="6" t="s">
        <v>48</v>
      </c>
      <c r="R62" s="6" t="s">
        <v>48</v>
      </c>
      <c r="S62" s="6" t="s">
        <v>41</v>
      </c>
      <c r="T62" s="6">
        <v>4.2</v>
      </c>
    </row>
    <row r="63" spans="1:20">
      <c r="A63" s="6" t="s">
        <v>230</v>
      </c>
      <c r="B63" s="3">
        <v>45798</v>
      </c>
      <c r="C63" s="6" t="s">
        <v>231</v>
      </c>
      <c r="D63" s="6">
        <v>43</v>
      </c>
      <c r="E63" s="6" t="s">
        <v>52</v>
      </c>
      <c r="F63" s="6" t="s">
        <v>35</v>
      </c>
      <c r="G63" s="6" t="s">
        <v>105</v>
      </c>
      <c r="H63" s="6" t="s">
        <v>37</v>
      </c>
      <c r="I63" s="6" t="s">
        <v>226</v>
      </c>
      <c r="J63" s="6" t="s">
        <v>73</v>
      </c>
      <c r="K63" s="6" t="s">
        <v>47</v>
      </c>
      <c r="L63" s="6" t="s">
        <v>68</v>
      </c>
      <c r="M63" s="6" t="s">
        <v>107</v>
      </c>
      <c r="N63" s="6">
        <v>11</v>
      </c>
      <c r="O63" s="6">
        <v>0</v>
      </c>
      <c r="P63" s="6">
        <v>0</v>
      </c>
      <c r="Q63" s="6" t="s">
        <v>48</v>
      </c>
      <c r="R63" s="6" t="s">
        <v>48</v>
      </c>
      <c r="S63" s="6" t="s">
        <v>41</v>
      </c>
      <c r="T63" s="6">
        <v>2.73</v>
      </c>
    </row>
    <row r="64" spans="1:20">
      <c r="A64" s="6" t="s">
        <v>232</v>
      </c>
      <c r="B64" s="3">
        <v>45782</v>
      </c>
      <c r="C64" s="6" t="s">
        <v>233</v>
      </c>
      <c r="D64" s="6">
        <v>70</v>
      </c>
      <c r="E64" s="6" t="s">
        <v>22</v>
      </c>
      <c r="F64" s="6" t="s">
        <v>23</v>
      </c>
      <c r="G64" s="6" t="s">
        <v>24</v>
      </c>
      <c r="H64" s="6" t="s">
        <v>134</v>
      </c>
      <c r="I64" s="6" t="s">
        <v>234</v>
      </c>
      <c r="J64" s="6" t="s">
        <v>94</v>
      </c>
      <c r="K64" s="6" t="s">
        <v>28</v>
      </c>
      <c r="L64" s="6" t="s">
        <v>40</v>
      </c>
      <c r="M64" s="6" t="s">
        <v>61</v>
      </c>
      <c r="N64" s="6">
        <v>15</v>
      </c>
      <c r="O64" s="6">
        <v>0</v>
      </c>
      <c r="P64" s="6">
        <v>0</v>
      </c>
      <c r="Q64" s="6" t="s">
        <v>31</v>
      </c>
      <c r="R64" s="6" t="s">
        <v>48</v>
      </c>
      <c r="S64" s="6" t="s">
        <v>32</v>
      </c>
      <c r="T64" s="6">
        <v>2.73</v>
      </c>
    </row>
    <row r="65" spans="1:20">
      <c r="A65" s="6" t="s">
        <v>235</v>
      </c>
      <c r="B65" s="3">
        <v>45801</v>
      </c>
      <c r="C65" s="6" t="s">
        <v>236</v>
      </c>
      <c r="D65" s="6">
        <v>29</v>
      </c>
      <c r="E65" s="6" t="s">
        <v>52</v>
      </c>
      <c r="F65" s="6" t="s">
        <v>53</v>
      </c>
      <c r="G65" s="6" t="s">
        <v>58</v>
      </c>
      <c r="H65" s="6" t="s">
        <v>55</v>
      </c>
      <c r="I65" s="6" t="s">
        <v>97</v>
      </c>
      <c r="J65" s="6" t="s">
        <v>39</v>
      </c>
      <c r="K65" s="6" t="s">
        <v>28</v>
      </c>
      <c r="L65" s="6" t="s">
        <v>29</v>
      </c>
      <c r="M65" s="6" t="s">
        <v>74</v>
      </c>
      <c r="N65" s="6">
        <v>6</v>
      </c>
      <c r="O65" s="6">
        <v>0</v>
      </c>
      <c r="P65" s="6">
        <v>0</v>
      </c>
      <c r="Q65" s="6" t="s">
        <v>48</v>
      </c>
      <c r="R65" s="6" t="s">
        <v>48</v>
      </c>
      <c r="S65" s="6" t="s">
        <v>41</v>
      </c>
      <c r="T65" s="6">
        <v>2.73</v>
      </c>
    </row>
    <row r="66" spans="1:20">
      <c r="A66" s="6" t="s">
        <v>237</v>
      </c>
      <c r="B66" s="3">
        <v>45806</v>
      </c>
      <c r="C66" s="6" t="s">
        <v>190</v>
      </c>
      <c r="D66" s="6">
        <v>47</v>
      </c>
      <c r="E66" s="6" t="s">
        <v>22</v>
      </c>
      <c r="F66" s="6" t="s">
        <v>23</v>
      </c>
      <c r="G66" s="6" t="s">
        <v>44</v>
      </c>
      <c r="H66" s="6" t="s">
        <v>134</v>
      </c>
      <c r="I66" s="6" t="s">
        <v>226</v>
      </c>
      <c r="J66" s="6" t="s">
        <v>60</v>
      </c>
      <c r="K66" s="6" t="s">
        <v>47</v>
      </c>
      <c r="L66" s="6" t="s">
        <v>40</v>
      </c>
      <c r="M66" s="6" t="s">
        <v>30</v>
      </c>
      <c r="N66" s="6">
        <v>6</v>
      </c>
      <c r="O66" s="6">
        <v>30</v>
      </c>
      <c r="P66" s="6">
        <v>1222</v>
      </c>
      <c r="Q66" s="6" t="s">
        <v>31</v>
      </c>
      <c r="R66" s="6" t="s">
        <v>31</v>
      </c>
      <c r="S66" s="6" t="s">
        <v>32</v>
      </c>
      <c r="T66" s="6">
        <v>3.9</v>
      </c>
    </row>
    <row r="67" spans="1:20">
      <c r="A67" s="6" t="s">
        <v>238</v>
      </c>
      <c r="B67" s="3">
        <v>45806</v>
      </c>
      <c r="C67" s="6" t="s">
        <v>239</v>
      </c>
      <c r="D67" s="6">
        <v>56</v>
      </c>
      <c r="E67" s="6" t="s">
        <v>52</v>
      </c>
      <c r="F67" s="6" t="s">
        <v>23</v>
      </c>
      <c r="G67" s="6" t="s">
        <v>44</v>
      </c>
      <c r="H67" s="6" t="s">
        <v>25</v>
      </c>
      <c r="I67" s="6" t="s">
        <v>186</v>
      </c>
      <c r="J67" s="6" t="s">
        <v>67</v>
      </c>
      <c r="K67" s="6" t="s">
        <v>28</v>
      </c>
      <c r="L67" s="6" t="s">
        <v>29</v>
      </c>
      <c r="M67" s="6" t="s">
        <v>30</v>
      </c>
      <c r="N67" s="6">
        <v>19</v>
      </c>
      <c r="O67" s="6">
        <v>32</v>
      </c>
      <c r="P67" s="6">
        <v>1281</v>
      </c>
      <c r="Q67" s="6" t="s">
        <v>48</v>
      </c>
      <c r="R67" s="6" t="s">
        <v>31</v>
      </c>
      <c r="S67" s="6" t="s">
        <v>32</v>
      </c>
      <c r="T67" s="6">
        <v>3.2</v>
      </c>
    </row>
    <row r="68" spans="1:20">
      <c r="A68" s="6" t="s">
        <v>240</v>
      </c>
      <c r="B68" s="3">
        <v>45801</v>
      </c>
      <c r="C68" s="6" t="s">
        <v>241</v>
      </c>
      <c r="D68" s="6">
        <v>60</v>
      </c>
      <c r="E68" s="6" t="s">
        <v>52</v>
      </c>
      <c r="F68" s="6" t="s">
        <v>77</v>
      </c>
      <c r="G68" s="6" t="s">
        <v>138</v>
      </c>
      <c r="H68" s="6" t="s">
        <v>101</v>
      </c>
      <c r="I68" s="6" t="s">
        <v>122</v>
      </c>
      <c r="J68" s="6" t="s">
        <v>84</v>
      </c>
      <c r="K68" s="6" t="s">
        <v>88</v>
      </c>
      <c r="L68" s="6" t="s">
        <v>68</v>
      </c>
      <c r="M68" s="6" t="s">
        <v>30</v>
      </c>
      <c r="N68" s="6">
        <v>16</v>
      </c>
      <c r="O68" s="6">
        <v>9</v>
      </c>
      <c r="P68" s="6">
        <v>1371</v>
      </c>
      <c r="Q68" s="6" t="s">
        <v>48</v>
      </c>
      <c r="R68" s="6" t="s">
        <v>31</v>
      </c>
      <c r="S68" s="6" t="s">
        <v>49</v>
      </c>
      <c r="T68" s="6">
        <v>3.1</v>
      </c>
    </row>
    <row r="69" spans="1:20">
      <c r="A69" s="6" t="s">
        <v>242</v>
      </c>
      <c r="B69" s="3">
        <v>45785</v>
      </c>
      <c r="C69" s="6" t="s">
        <v>243</v>
      </c>
      <c r="D69" s="6">
        <v>73</v>
      </c>
      <c r="E69" s="6" t="s">
        <v>52</v>
      </c>
      <c r="F69" s="6" t="s">
        <v>53</v>
      </c>
      <c r="G69" s="6" t="s">
        <v>58</v>
      </c>
      <c r="H69" s="6" t="s">
        <v>125</v>
      </c>
      <c r="I69" s="6" t="s">
        <v>244</v>
      </c>
      <c r="J69" s="6" t="s">
        <v>39</v>
      </c>
      <c r="K69" s="6" t="s">
        <v>47</v>
      </c>
      <c r="L69" s="6" t="s">
        <v>40</v>
      </c>
      <c r="M69" s="6" t="s">
        <v>30</v>
      </c>
      <c r="N69" s="6">
        <v>6</v>
      </c>
      <c r="O69" s="6">
        <v>18</v>
      </c>
      <c r="P69" s="6">
        <v>1039</v>
      </c>
      <c r="Q69" s="6" t="s">
        <v>48</v>
      </c>
      <c r="R69" s="6" t="s">
        <v>31</v>
      </c>
      <c r="S69" s="6" t="s">
        <v>41</v>
      </c>
      <c r="T69" s="6">
        <v>3.7</v>
      </c>
    </row>
    <row r="70" spans="1:20">
      <c r="A70" s="6" t="s">
        <v>245</v>
      </c>
      <c r="B70" s="3">
        <v>45783</v>
      </c>
      <c r="C70" s="6" t="s">
        <v>246</v>
      </c>
      <c r="D70" s="6">
        <v>19</v>
      </c>
      <c r="E70" s="6" t="s">
        <v>22</v>
      </c>
      <c r="F70" s="6" t="s">
        <v>23</v>
      </c>
      <c r="G70" s="6" t="s">
        <v>44</v>
      </c>
      <c r="H70" s="6" t="s">
        <v>25</v>
      </c>
      <c r="I70" s="6" t="s">
        <v>247</v>
      </c>
      <c r="J70" s="6" t="s">
        <v>60</v>
      </c>
      <c r="K70" s="6" t="s">
        <v>28</v>
      </c>
      <c r="L70" s="6" t="s">
        <v>68</v>
      </c>
      <c r="M70" s="6" t="s">
        <v>61</v>
      </c>
      <c r="N70" s="6">
        <v>13</v>
      </c>
      <c r="O70" s="6">
        <v>0</v>
      </c>
      <c r="P70" s="6">
        <v>0</v>
      </c>
      <c r="Q70" s="6" t="s">
        <v>31</v>
      </c>
      <c r="R70" s="6" t="s">
        <v>31</v>
      </c>
      <c r="S70" s="6" t="s">
        <v>41</v>
      </c>
      <c r="T70" s="6">
        <v>2.73</v>
      </c>
    </row>
    <row r="71" spans="1:20">
      <c r="A71" s="6" t="s">
        <v>248</v>
      </c>
      <c r="B71" s="3">
        <v>45801</v>
      </c>
      <c r="C71" s="6" t="s">
        <v>225</v>
      </c>
      <c r="D71" s="6">
        <v>42</v>
      </c>
      <c r="E71" s="6" t="s">
        <v>52</v>
      </c>
      <c r="F71" s="6" t="s">
        <v>77</v>
      </c>
      <c r="G71" s="6" t="s">
        <v>78</v>
      </c>
      <c r="H71" s="6" t="s">
        <v>147</v>
      </c>
      <c r="I71" s="6" t="s">
        <v>165</v>
      </c>
      <c r="J71" s="6" t="s">
        <v>113</v>
      </c>
      <c r="K71" s="6" t="s">
        <v>28</v>
      </c>
      <c r="L71" s="6" t="s">
        <v>29</v>
      </c>
      <c r="M71" s="6" t="s">
        <v>107</v>
      </c>
      <c r="N71" s="6">
        <v>19</v>
      </c>
      <c r="O71" s="6">
        <v>0</v>
      </c>
      <c r="P71" s="6">
        <v>0</v>
      </c>
      <c r="Q71" s="6" t="s">
        <v>31</v>
      </c>
      <c r="R71" s="6" t="s">
        <v>48</v>
      </c>
      <c r="S71" s="6" t="s">
        <v>49</v>
      </c>
      <c r="T71" s="6">
        <v>2.73</v>
      </c>
    </row>
    <row r="72" spans="1:20">
      <c r="A72" s="6" t="s">
        <v>249</v>
      </c>
      <c r="B72" s="3">
        <v>45781</v>
      </c>
      <c r="C72" s="6" t="s">
        <v>250</v>
      </c>
      <c r="D72" s="6">
        <v>46</v>
      </c>
      <c r="E72" s="6" t="s">
        <v>52</v>
      </c>
      <c r="F72" s="6" t="s">
        <v>53</v>
      </c>
      <c r="G72" s="6" t="s">
        <v>91</v>
      </c>
      <c r="H72" s="6" t="s">
        <v>125</v>
      </c>
      <c r="I72" s="6" t="s">
        <v>93</v>
      </c>
      <c r="J72" s="6" t="s">
        <v>73</v>
      </c>
      <c r="K72" s="6" t="s">
        <v>28</v>
      </c>
      <c r="L72" s="6" t="s">
        <v>29</v>
      </c>
      <c r="M72" s="6" t="s">
        <v>30</v>
      </c>
      <c r="N72" s="6">
        <v>20</v>
      </c>
      <c r="O72" s="6">
        <v>38</v>
      </c>
      <c r="P72" s="6">
        <v>1305</v>
      </c>
      <c r="Q72" s="6" t="s">
        <v>31</v>
      </c>
      <c r="R72" s="6" t="s">
        <v>31</v>
      </c>
      <c r="S72" s="6" t="s">
        <v>32</v>
      </c>
      <c r="T72" s="6">
        <v>3.8</v>
      </c>
    </row>
    <row r="73" spans="1:20">
      <c r="A73" s="6" t="s">
        <v>251</v>
      </c>
      <c r="B73" s="3">
        <v>45783</v>
      </c>
      <c r="C73" s="6" t="s">
        <v>252</v>
      </c>
      <c r="D73" s="6">
        <v>31</v>
      </c>
      <c r="E73" s="6" t="s">
        <v>52</v>
      </c>
      <c r="F73" s="6" t="s">
        <v>53</v>
      </c>
      <c r="G73" s="6" t="s">
        <v>91</v>
      </c>
      <c r="H73" s="6" t="s">
        <v>125</v>
      </c>
      <c r="I73" s="6" t="s">
        <v>253</v>
      </c>
      <c r="J73" s="6" t="s">
        <v>84</v>
      </c>
      <c r="K73" s="6" t="s">
        <v>47</v>
      </c>
      <c r="L73" s="6" t="s">
        <v>40</v>
      </c>
      <c r="M73" s="6" t="s">
        <v>30</v>
      </c>
      <c r="N73" s="6">
        <v>11</v>
      </c>
      <c r="O73" s="6">
        <v>8</v>
      </c>
      <c r="P73" s="6">
        <v>923</v>
      </c>
      <c r="Q73" s="6" t="s">
        <v>31</v>
      </c>
      <c r="R73" s="6" t="s">
        <v>48</v>
      </c>
      <c r="S73" s="6" t="s">
        <v>41</v>
      </c>
      <c r="T73" s="6">
        <v>3.6</v>
      </c>
    </row>
    <row r="74" spans="1:20">
      <c r="A74" s="6" t="s">
        <v>254</v>
      </c>
      <c r="B74" s="3">
        <v>45796</v>
      </c>
      <c r="C74" s="6" t="s">
        <v>209</v>
      </c>
      <c r="D74" s="6">
        <v>73</v>
      </c>
      <c r="E74" s="6" t="s">
        <v>22</v>
      </c>
      <c r="F74" s="6" t="s">
        <v>77</v>
      </c>
      <c r="G74" s="6" t="s">
        <v>138</v>
      </c>
      <c r="H74" s="6" t="s">
        <v>147</v>
      </c>
      <c r="I74" s="6" t="s">
        <v>255</v>
      </c>
      <c r="J74" s="6" t="s">
        <v>94</v>
      </c>
      <c r="K74" s="6" t="s">
        <v>47</v>
      </c>
      <c r="L74" s="6" t="s">
        <v>40</v>
      </c>
      <c r="M74" s="6" t="s">
        <v>61</v>
      </c>
      <c r="N74" s="6">
        <v>18</v>
      </c>
      <c r="O74" s="6">
        <v>0</v>
      </c>
      <c r="P74" s="6">
        <v>0</v>
      </c>
      <c r="Q74" s="6" t="s">
        <v>31</v>
      </c>
      <c r="R74" s="6" t="s">
        <v>31</v>
      </c>
      <c r="S74" s="6" t="s">
        <v>49</v>
      </c>
      <c r="T74" s="6">
        <v>2.73</v>
      </c>
    </row>
    <row r="75" spans="1:20">
      <c r="A75" s="6" t="s">
        <v>256</v>
      </c>
      <c r="B75" s="3">
        <v>45791</v>
      </c>
      <c r="C75" s="6" t="s">
        <v>181</v>
      </c>
      <c r="D75" s="6">
        <v>69</v>
      </c>
      <c r="E75" s="6" t="s">
        <v>52</v>
      </c>
      <c r="F75" s="6" t="s">
        <v>35</v>
      </c>
      <c r="G75" s="6" t="s">
        <v>36</v>
      </c>
      <c r="H75" s="6" t="s">
        <v>37</v>
      </c>
      <c r="I75" s="6" t="s">
        <v>153</v>
      </c>
      <c r="J75" s="6" t="s">
        <v>113</v>
      </c>
      <c r="K75" s="6" t="s">
        <v>88</v>
      </c>
      <c r="L75" s="6" t="s">
        <v>29</v>
      </c>
      <c r="M75" s="6" t="s">
        <v>107</v>
      </c>
      <c r="N75" s="6">
        <v>16</v>
      </c>
      <c r="O75" s="6">
        <v>0</v>
      </c>
      <c r="P75" s="6">
        <v>0</v>
      </c>
      <c r="Q75" s="6" t="s">
        <v>31</v>
      </c>
      <c r="R75" s="6" t="s">
        <v>31</v>
      </c>
      <c r="S75" s="6" t="s">
        <v>41</v>
      </c>
      <c r="T75" s="6">
        <v>2.73</v>
      </c>
    </row>
    <row r="76" spans="1:20">
      <c r="A76" s="6" t="s">
        <v>257</v>
      </c>
      <c r="B76" s="3">
        <v>45781</v>
      </c>
      <c r="C76" s="6" t="s">
        <v>258</v>
      </c>
      <c r="D76" s="6">
        <v>22</v>
      </c>
      <c r="E76" s="6" t="s">
        <v>22</v>
      </c>
      <c r="F76" s="6" t="s">
        <v>35</v>
      </c>
      <c r="G76" s="6" t="s">
        <v>36</v>
      </c>
      <c r="H76" s="6" t="s">
        <v>65</v>
      </c>
      <c r="I76" s="6" t="s">
        <v>259</v>
      </c>
      <c r="J76" s="6" t="s">
        <v>113</v>
      </c>
      <c r="K76" s="6" t="s">
        <v>88</v>
      </c>
      <c r="L76" s="6" t="s">
        <v>40</v>
      </c>
      <c r="M76" s="6" t="s">
        <v>30</v>
      </c>
      <c r="N76" s="6">
        <v>21</v>
      </c>
      <c r="O76" s="6">
        <v>32</v>
      </c>
      <c r="P76" s="6">
        <v>797</v>
      </c>
      <c r="Q76" s="6" t="s">
        <v>31</v>
      </c>
      <c r="R76" s="6" t="s">
        <v>31</v>
      </c>
      <c r="S76" s="6" t="s">
        <v>41</v>
      </c>
      <c r="T76" s="6">
        <v>4.8</v>
      </c>
    </row>
    <row r="77" spans="1:20">
      <c r="A77" s="6" t="s">
        <v>260</v>
      </c>
      <c r="B77" s="3">
        <v>45793</v>
      </c>
      <c r="C77" s="6" t="s">
        <v>190</v>
      </c>
      <c r="D77" s="6">
        <v>47</v>
      </c>
      <c r="E77" s="6" t="s">
        <v>52</v>
      </c>
      <c r="F77" s="6" t="s">
        <v>77</v>
      </c>
      <c r="G77" s="6" t="s">
        <v>138</v>
      </c>
      <c r="H77" s="6" t="s">
        <v>79</v>
      </c>
      <c r="I77" s="6" t="s">
        <v>165</v>
      </c>
      <c r="J77" s="6" t="s">
        <v>67</v>
      </c>
      <c r="K77" s="6" t="s">
        <v>47</v>
      </c>
      <c r="L77" s="6" t="s">
        <v>29</v>
      </c>
      <c r="M77" s="6" t="s">
        <v>30</v>
      </c>
      <c r="N77" s="6">
        <v>23</v>
      </c>
      <c r="O77" s="6">
        <v>41</v>
      </c>
      <c r="P77" s="6">
        <v>1061</v>
      </c>
      <c r="Q77" s="6" t="s">
        <v>31</v>
      </c>
      <c r="R77" s="6" t="s">
        <v>31</v>
      </c>
      <c r="S77" s="6" t="s">
        <v>49</v>
      </c>
      <c r="T77" s="6">
        <v>4.7</v>
      </c>
    </row>
    <row r="78" spans="1:20">
      <c r="A78" s="6" t="s">
        <v>261</v>
      </c>
      <c r="B78" s="3">
        <v>45795</v>
      </c>
      <c r="C78" s="6" t="s">
        <v>262</v>
      </c>
      <c r="D78" s="6">
        <v>20</v>
      </c>
      <c r="E78" s="6" t="s">
        <v>22</v>
      </c>
      <c r="F78" s="6" t="s">
        <v>35</v>
      </c>
      <c r="G78" s="6" t="s">
        <v>36</v>
      </c>
      <c r="H78" s="6" t="s">
        <v>37</v>
      </c>
      <c r="I78" s="6" t="s">
        <v>153</v>
      </c>
      <c r="J78" s="6" t="s">
        <v>27</v>
      </c>
      <c r="K78" s="6" t="s">
        <v>47</v>
      </c>
      <c r="L78" s="6" t="s">
        <v>29</v>
      </c>
      <c r="M78" s="6" t="s">
        <v>30</v>
      </c>
      <c r="N78" s="6">
        <v>16</v>
      </c>
      <c r="O78" s="6">
        <v>18</v>
      </c>
      <c r="P78" s="6">
        <v>557</v>
      </c>
      <c r="Q78" s="6" t="s">
        <v>48</v>
      </c>
      <c r="R78" s="6" t="s">
        <v>31</v>
      </c>
      <c r="S78" s="6" t="s">
        <v>41</v>
      </c>
      <c r="T78" s="6">
        <v>4.3</v>
      </c>
    </row>
    <row r="79" spans="1:20">
      <c r="A79" s="6" t="s">
        <v>263</v>
      </c>
      <c r="B79" s="3">
        <v>45792</v>
      </c>
      <c r="C79" s="6" t="s">
        <v>264</v>
      </c>
      <c r="D79" s="6">
        <v>46</v>
      </c>
      <c r="E79" s="6" t="s">
        <v>22</v>
      </c>
      <c r="F79" s="6" t="s">
        <v>23</v>
      </c>
      <c r="G79" s="6" t="s">
        <v>44</v>
      </c>
      <c r="H79" s="6" t="s">
        <v>25</v>
      </c>
      <c r="I79" s="6" t="s">
        <v>234</v>
      </c>
      <c r="J79" s="6" t="s">
        <v>94</v>
      </c>
      <c r="K79" s="6" t="s">
        <v>88</v>
      </c>
      <c r="L79" s="6" t="s">
        <v>40</v>
      </c>
      <c r="M79" s="6" t="s">
        <v>30</v>
      </c>
      <c r="N79" s="6">
        <v>15</v>
      </c>
      <c r="O79" s="6">
        <v>45</v>
      </c>
      <c r="P79" s="6">
        <v>572</v>
      </c>
      <c r="Q79" s="6" t="s">
        <v>31</v>
      </c>
      <c r="R79" s="6" t="s">
        <v>31</v>
      </c>
      <c r="S79" s="6" t="s">
        <v>41</v>
      </c>
      <c r="T79" s="6">
        <v>4</v>
      </c>
    </row>
    <row r="80" spans="1:20">
      <c r="A80" s="6" t="s">
        <v>265</v>
      </c>
      <c r="B80" s="3">
        <v>45805</v>
      </c>
      <c r="C80" s="6" t="s">
        <v>192</v>
      </c>
      <c r="D80" s="6">
        <v>68</v>
      </c>
      <c r="E80" s="6" t="s">
        <v>52</v>
      </c>
      <c r="F80" s="6" t="s">
        <v>77</v>
      </c>
      <c r="G80" s="6" t="s">
        <v>138</v>
      </c>
      <c r="H80" s="6" t="s">
        <v>101</v>
      </c>
      <c r="I80" s="6" t="s">
        <v>46</v>
      </c>
      <c r="J80" s="6" t="s">
        <v>27</v>
      </c>
      <c r="K80" s="6" t="s">
        <v>88</v>
      </c>
      <c r="L80" s="6" t="s">
        <v>68</v>
      </c>
      <c r="M80" s="6" t="s">
        <v>30</v>
      </c>
      <c r="N80" s="6">
        <v>7</v>
      </c>
      <c r="O80" s="6">
        <v>21</v>
      </c>
      <c r="P80" s="6">
        <v>593</v>
      </c>
      <c r="Q80" s="6" t="s">
        <v>31</v>
      </c>
      <c r="R80" s="6" t="s">
        <v>31</v>
      </c>
      <c r="S80" s="6" t="s">
        <v>49</v>
      </c>
      <c r="T80" s="6">
        <v>4.0999999999999996</v>
      </c>
    </row>
    <row r="81" spans="1:20">
      <c r="A81" s="6" t="s">
        <v>266</v>
      </c>
      <c r="B81" s="3">
        <v>45798</v>
      </c>
      <c r="C81" s="6" t="s">
        <v>236</v>
      </c>
      <c r="D81" s="6">
        <v>26</v>
      </c>
      <c r="E81" s="6" t="s">
        <v>22</v>
      </c>
      <c r="F81" s="6" t="s">
        <v>77</v>
      </c>
      <c r="G81" s="6" t="s">
        <v>138</v>
      </c>
      <c r="H81" s="6" t="s">
        <v>79</v>
      </c>
      <c r="I81" s="6" t="s">
        <v>165</v>
      </c>
      <c r="J81" s="6" t="s">
        <v>67</v>
      </c>
      <c r="K81" s="6" t="s">
        <v>88</v>
      </c>
      <c r="L81" s="6" t="s">
        <v>68</v>
      </c>
      <c r="M81" s="6" t="s">
        <v>30</v>
      </c>
      <c r="N81" s="6">
        <v>14</v>
      </c>
      <c r="O81" s="6">
        <v>35</v>
      </c>
      <c r="P81" s="6">
        <v>1171</v>
      </c>
      <c r="Q81" s="6" t="s">
        <v>48</v>
      </c>
      <c r="R81" s="6" t="s">
        <v>31</v>
      </c>
      <c r="S81" s="6" t="s">
        <v>49</v>
      </c>
      <c r="T81" s="6">
        <v>4.3</v>
      </c>
    </row>
    <row r="82" spans="1:20">
      <c r="A82" s="6" t="s">
        <v>267</v>
      </c>
      <c r="B82" s="3">
        <v>45782</v>
      </c>
      <c r="C82" s="6" t="s">
        <v>268</v>
      </c>
      <c r="D82" s="6">
        <v>30</v>
      </c>
      <c r="E82" s="6" t="s">
        <v>22</v>
      </c>
      <c r="F82" s="6" t="s">
        <v>35</v>
      </c>
      <c r="G82" s="6" t="s">
        <v>36</v>
      </c>
      <c r="H82" s="6" t="s">
        <v>37</v>
      </c>
      <c r="I82" s="6" t="s">
        <v>253</v>
      </c>
      <c r="J82" s="6" t="s">
        <v>39</v>
      </c>
      <c r="K82" s="6" t="s">
        <v>88</v>
      </c>
      <c r="L82" s="6" t="s">
        <v>68</v>
      </c>
      <c r="M82" s="6" t="s">
        <v>30</v>
      </c>
      <c r="N82" s="6">
        <v>9</v>
      </c>
      <c r="O82" s="6">
        <v>9</v>
      </c>
      <c r="P82" s="6">
        <v>558</v>
      </c>
      <c r="Q82" s="6" t="s">
        <v>48</v>
      </c>
      <c r="R82" s="6" t="s">
        <v>31</v>
      </c>
      <c r="S82" s="6" t="s">
        <v>32</v>
      </c>
      <c r="T82" s="6">
        <v>3.6</v>
      </c>
    </row>
    <row r="83" spans="1:20">
      <c r="A83" s="6" t="s">
        <v>269</v>
      </c>
      <c r="B83" s="3">
        <v>45787</v>
      </c>
      <c r="C83" s="6" t="s">
        <v>270</v>
      </c>
      <c r="D83" s="6">
        <v>44</v>
      </c>
      <c r="E83" s="6" t="s">
        <v>52</v>
      </c>
      <c r="F83" s="6" t="s">
        <v>35</v>
      </c>
      <c r="G83" s="6" t="s">
        <v>105</v>
      </c>
      <c r="H83" s="6" t="s">
        <v>65</v>
      </c>
      <c r="I83" s="6" t="s">
        <v>102</v>
      </c>
      <c r="J83" s="6" t="s">
        <v>67</v>
      </c>
      <c r="K83" s="6" t="s">
        <v>47</v>
      </c>
      <c r="L83" s="6" t="s">
        <v>40</v>
      </c>
      <c r="M83" s="6" t="s">
        <v>30</v>
      </c>
      <c r="N83" s="6">
        <v>12</v>
      </c>
      <c r="O83" s="6">
        <v>28</v>
      </c>
      <c r="P83" s="6">
        <v>983</v>
      </c>
      <c r="Q83" s="6" t="s">
        <v>48</v>
      </c>
      <c r="R83" s="6" t="s">
        <v>48</v>
      </c>
      <c r="S83" s="6" t="s">
        <v>49</v>
      </c>
      <c r="T83" s="6">
        <v>4.5</v>
      </c>
    </row>
    <row r="84" spans="1:20">
      <c r="A84" s="6" t="s">
        <v>271</v>
      </c>
      <c r="B84" s="3">
        <v>45800</v>
      </c>
      <c r="C84" s="6" t="s">
        <v>272</v>
      </c>
      <c r="D84" s="6">
        <v>28</v>
      </c>
      <c r="E84" s="6" t="s">
        <v>22</v>
      </c>
      <c r="F84" s="6" t="s">
        <v>35</v>
      </c>
      <c r="G84" s="6" t="s">
        <v>105</v>
      </c>
      <c r="H84" s="6" t="s">
        <v>37</v>
      </c>
      <c r="I84" s="6" t="s">
        <v>217</v>
      </c>
      <c r="J84" s="6" t="s">
        <v>84</v>
      </c>
      <c r="K84" s="6" t="s">
        <v>88</v>
      </c>
      <c r="L84" s="6" t="s">
        <v>68</v>
      </c>
      <c r="M84" s="6" t="s">
        <v>30</v>
      </c>
      <c r="N84" s="6">
        <v>24</v>
      </c>
      <c r="O84" s="6">
        <v>8</v>
      </c>
      <c r="P84" s="6">
        <v>912</v>
      </c>
      <c r="Q84" s="6" t="s">
        <v>48</v>
      </c>
      <c r="R84" s="6" t="s">
        <v>31</v>
      </c>
      <c r="S84" s="6" t="s">
        <v>49</v>
      </c>
      <c r="T84" s="6">
        <v>3.1</v>
      </c>
    </row>
    <row r="85" spans="1:20">
      <c r="A85" s="6" t="s">
        <v>273</v>
      </c>
      <c r="B85" s="3">
        <v>45780</v>
      </c>
      <c r="C85" s="6" t="s">
        <v>176</v>
      </c>
      <c r="D85" s="6">
        <v>23</v>
      </c>
      <c r="E85" s="6" t="s">
        <v>22</v>
      </c>
      <c r="F85" s="6" t="s">
        <v>23</v>
      </c>
      <c r="G85" s="6" t="s">
        <v>44</v>
      </c>
      <c r="H85" s="6" t="s">
        <v>45</v>
      </c>
      <c r="I85" s="6" t="s">
        <v>83</v>
      </c>
      <c r="J85" s="6" t="s">
        <v>67</v>
      </c>
      <c r="K85" s="6" t="s">
        <v>88</v>
      </c>
      <c r="L85" s="6" t="s">
        <v>68</v>
      </c>
      <c r="M85" s="6" t="s">
        <v>30</v>
      </c>
      <c r="N85" s="6">
        <v>19</v>
      </c>
      <c r="O85" s="6">
        <v>22</v>
      </c>
      <c r="P85" s="6">
        <v>454</v>
      </c>
      <c r="Q85" s="6" t="s">
        <v>48</v>
      </c>
      <c r="R85" s="6" t="s">
        <v>31</v>
      </c>
      <c r="S85" s="6" t="s">
        <v>49</v>
      </c>
      <c r="T85" s="6">
        <v>3.8</v>
      </c>
    </row>
    <row r="86" spans="1:20">
      <c r="A86" s="6" t="s">
        <v>274</v>
      </c>
      <c r="B86" s="3">
        <v>45806</v>
      </c>
      <c r="C86" s="6" t="s">
        <v>275</v>
      </c>
      <c r="D86" s="6">
        <v>36</v>
      </c>
      <c r="E86" s="6" t="s">
        <v>52</v>
      </c>
      <c r="F86" s="6" t="s">
        <v>53</v>
      </c>
      <c r="G86" s="6" t="s">
        <v>58</v>
      </c>
      <c r="H86" s="6" t="s">
        <v>55</v>
      </c>
      <c r="I86" s="6" t="s">
        <v>276</v>
      </c>
      <c r="J86" s="6" t="s">
        <v>60</v>
      </c>
      <c r="K86" s="6" t="s">
        <v>28</v>
      </c>
      <c r="L86" s="6" t="s">
        <v>40</v>
      </c>
      <c r="M86" s="6" t="s">
        <v>74</v>
      </c>
      <c r="N86" s="6">
        <v>9</v>
      </c>
      <c r="O86" s="6">
        <v>0</v>
      </c>
      <c r="P86" s="6">
        <v>0</v>
      </c>
      <c r="Q86" s="6" t="s">
        <v>31</v>
      </c>
      <c r="R86" s="6" t="s">
        <v>48</v>
      </c>
      <c r="S86" s="6" t="s">
        <v>49</v>
      </c>
      <c r="T86" s="6">
        <v>2.73</v>
      </c>
    </row>
    <row r="87" spans="1:20">
      <c r="A87" s="6" t="s">
        <v>277</v>
      </c>
      <c r="B87" s="3">
        <v>45804</v>
      </c>
      <c r="C87" s="6" t="s">
        <v>278</v>
      </c>
      <c r="D87" s="6">
        <v>67</v>
      </c>
      <c r="E87" s="6" t="s">
        <v>52</v>
      </c>
      <c r="F87" s="6" t="s">
        <v>23</v>
      </c>
      <c r="G87" s="6" t="s">
        <v>24</v>
      </c>
      <c r="H87" s="6" t="s">
        <v>134</v>
      </c>
      <c r="I87" s="6" t="s">
        <v>279</v>
      </c>
      <c r="J87" s="6" t="s">
        <v>94</v>
      </c>
      <c r="K87" s="6" t="s">
        <v>28</v>
      </c>
      <c r="L87" s="6" t="s">
        <v>40</v>
      </c>
      <c r="M87" s="6" t="s">
        <v>30</v>
      </c>
      <c r="N87" s="6">
        <v>12</v>
      </c>
      <c r="O87" s="6">
        <v>19</v>
      </c>
      <c r="P87" s="6">
        <v>649</v>
      </c>
      <c r="Q87" s="6" t="s">
        <v>48</v>
      </c>
      <c r="R87" s="6" t="s">
        <v>48</v>
      </c>
      <c r="S87" s="6" t="s">
        <v>49</v>
      </c>
      <c r="T87" s="6">
        <v>3.1</v>
      </c>
    </row>
    <row r="88" spans="1:20">
      <c r="A88" s="6" t="s">
        <v>280</v>
      </c>
      <c r="B88" s="3">
        <v>45794</v>
      </c>
      <c r="C88" s="6" t="s">
        <v>281</v>
      </c>
      <c r="D88" s="6">
        <v>18</v>
      </c>
      <c r="E88" s="6" t="s">
        <v>52</v>
      </c>
      <c r="F88" s="6" t="s">
        <v>35</v>
      </c>
      <c r="G88" s="6" t="s">
        <v>36</v>
      </c>
      <c r="H88" s="6" t="s">
        <v>116</v>
      </c>
      <c r="I88" s="6" t="s">
        <v>210</v>
      </c>
      <c r="J88" s="6" t="s">
        <v>39</v>
      </c>
      <c r="K88" s="6" t="s">
        <v>47</v>
      </c>
      <c r="L88" s="6" t="s">
        <v>40</v>
      </c>
      <c r="M88" s="6" t="s">
        <v>74</v>
      </c>
      <c r="N88" s="6">
        <v>12</v>
      </c>
      <c r="O88" s="6">
        <v>0</v>
      </c>
      <c r="P88" s="6">
        <v>0</v>
      </c>
      <c r="Q88" s="6" t="s">
        <v>48</v>
      </c>
      <c r="R88" s="6" t="s">
        <v>31</v>
      </c>
      <c r="S88" s="6" t="s">
        <v>41</v>
      </c>
      <c r="T88" s="6">
        <v>2.73</v>
      </c>
    </row>
    <row r="89" spans="1:20">
      <c r="A89" s="6" t="s">
        <v>282</v>
      </c>
      <c r="B89" s="3">
        <v>45789</v>
      </c>
      <c r="C89" s="6" t="s">
        <v>283</v>
      </c>
      <c r="D89" s="6">
        <v>34</v>
      </c>
      <c r="E89" s="6" t="s">
        <v>22</v>
      </c>
      <c r="F89" s="6" t="s">
        <v>53</v>
      </c>
      <c r="G89" s="6" t="s">
        <v>58</v>
      </c>
      <c r="H89" s="6" t="s">
        <v>125</v>
      </c>
      <c r="I89" s="6" t="s">
        <v>284</v>
      </c>
      <c r="J89" s="6" t="s">
        <v>39</v>
      </c>
      <c r="K89" s="6" t="s">
        <v>88</v>
      </c>
      <c r="L89" s="6" t="s">
        <v>68</v>
      </c>
      <c r="M89" s="6" t="s">
        <v>30</v>
      </c>
      <c r="N89" s="6">
        <v>16</v>
      </c>
      <c r="O89" s="6">
        <v>4</v>
      </c>
      <c r="P89" s="6">
        <v>1106</v>
      </c>
      <c r="Q89" s="6" t="s">
        <v>48</v>
      </c>
      <c r="R89" s="6" t="s">
        <v>31</v>
      </c>
      <c r="S89" s="6" t="s">
        <v>32</v>
      </c>
      <c r="T89" s="6">
        <v>3.5</v>
      </c>
    </row>
    <row r="90" spans="1:20">
      <c r="A90" s="6" t="s">
        <v>285</v>
      </c>
      <c r="B90" s="3">
        <v>45807</v>
      </c>
      <c r="C90" s="6" t="s">
        <v>51</v>
      </c>
      <c r="D90" s="6">
        <v>20</v>
      </c>
      <c r="E90" s="6" t="s">
        <v>52</v>
      </c>
      <c r="F90" s="6" t="s">
        <v>53</v>
      </c>
      <c r="G90" s="6" t="s">
        <v>91</v>
      </c>
      <c r="H90" s="6" t="s">
        <v>55</v>
      </c>
      <c r="I90" s="6" t="s">
        <v>26</v>
      </c>
      <c r="J90" s="6" t="s">
        <v>84</v>
      </c>
      <c r="K90" s="6" t="s">
        <v>47</v>
      </c>
      <c r="L90" s="6" t="s">
        <v>68</v>
      </c>
      <c r="M90" s="6" t="s">
        <v>61</v>
      </c>
      <c r="N90" s="6">
        <v>11</v>
      </c>
      <c r="O90" s="6">
        <v>0</v>
      </c>
      <c r="P90" s="6">
        <v>0</v>
      </c>
      <c r="Q90" s="6" t="s">
        <v>31</v>
      </c>
      <c r="R90" s="6" t="s">
        <v>31</v>
      </c>
      <c r="S90" s="6" t="s">
        <v>49</v>
      </c>
      <c r="T90" s="6">
        <v>2.73</v>
      </c>
    </row>
    <row r="91" spans="1:20">
      <c r="A91" s="6" t="s">
        <v>286</v>
      </c>
      <c r="B91" s="3">
        <v>45806</v>
      </c>
      <c r="C91" s="6" t="s">
        <v>287</v>
      </c>
      <c r="D91" s="6">
        <v>73</v>
      </c>
      <c r="E91" s="6" t="s">
        <v>22</v>
      </c>
      <c r="F91" s="6" t="s">
        <v>53</v>
      </c>
      <c r="G91" s="6" t="s">
        <v>91</v>
      </c>
      <c r="H91" s="6" t="s">
        <v>92</v>
      </c>
      <c r="I91" s="6" t="s">
        <v>126</v>
      </c>
      <c r="J91" s="6" t="s">
        <v>84</v>
      </c>
      <c r="K91" s="6" t="s">
        <v>88</v>
      </c>
      <c r="L91" s="6" t="s">
        <v>29</v>
      </c>
      <c r="M91" s="6" t="s">
        <v>30</v>
      </c>
      <c r="N91" s="6">
        <v>25</v>
      </c>
      <c r="O91" s="6">
        <v>21</v>
      </c>
      <c r="P91" s="6">
        <v>959</v>
      </c>
      <c r="Q91" s="6" t="s">
        <v>48</v>
      </c>
      <c r="R91" s="6" t="s">
        <v>31</v>
      </c>
      <c r="S91" s="6" t="s">
        <v>49</v>
      </c>
      <c r="T91" s="6">
        <v>3.2</v>
      </c>
    </row>
    <row r="92" spans="1:20">
      <c r="A92" s="6" t="s">
        <v>288</v>
      </c>
      <c r="B92" s="3">
        <v>45788</v>
      </c>
      <c r="C92" s="6" t="s">
        <v>289</v>
      </c>
      <c r="D92" s="6">
        <v>64</v>
      </c>
      <c r="E92" s="6" t="s">
        <v>52</v>
      </c>
      <c r="F92" s="6" t="s">
        <v>35</v>
      </c>
      <c r="G92" s="6" t="s">
        <v>64</v>
      </c>
      <c r="H92" s="6" t="s">
        <v>65</v>
      </c>
      <c r="I92" s="6" t="s">
        <v>290</v>
      </c>
      <c r="J92" s="6" t="s">
        <v>84</v>
      </c>
      <c r="K92" s="6" t="s">
        <v>47</v>
      </c>
      <c r="L92" s="6" t="s">
        <v>68</v>
      </c>
      <c r="M92" s="6" t="s">
        <v>74</v>
      </c>
      <c r="N92" s="6">
        <v>7</v>
      </c>
      <c r="O92" s="6">
        <v>0</v>
      </c>
      <c r="P92" s="6">
        <v>0</v>
      </c>
      <c r="Q92" s="6" t="s">
        <v>48</v>
      </c>
      <c r="R92" s="6" t="s">
        <v>48</v>
      </c>
      <c r="S92" s="6" t="s">
        <v>41</v>
      </c>
      <c r="T92" s="6">
        <v>2.73</v>
      </c>
    </row>
    <row r="93" spans="1:20">
      <c r="A93" s="6" t="s">
        <v>291</v>
      </c>
      <c r="B93" s="3">
        <v>45794</v>
      </c>
      <c r="C93" s="6" t="s">
        <v>292</v>
      </c>
      <c r="D93" s="6">
        <v>40</v>
      </c>
      <c r="E93" s="6" t="s">
        <v>52</v>
      </c>
      <c r="F93" s="6" t="s">
        <v>23</v>
      </c>
      <c r="G93" s="6" t="s">
        <v>24</v>
      </c>
      <c r="H93" s="6" t="s">
        <v>134</v>
      </c>
      <c r="I93" s="6" t="s">
        <v>293</v>
      </c>
      <c r="J93" s="6" t="s">
        <v>27</v>
      </c>
      <c r="K93" s="6" t="s">
        <v>88</v>
      </c>
      <c r="L93" s="6" t="s">
        <v>68</v>
      </c>
      <c r="M93" s="6" t="s">
        <v>30</v>
      </c>
      <c r="N93" s="6">
        <v>6</v>
      </c>
      <c r="O93" s="6">
        <v>22</v>
      </c>
      <c r="P93" s="6">
        <v>1290</v>
      </c>
      <c r="Q93" s="6" t="s">
        <v>48</v>
      </c>
      <c r="R93" s="6" t="s">
        <v>31</v>
      </c>
      <c r="S93" s="6" t="s">
        <v>49</v>
      </c>
      <c r="T93" s="6">
        <v>3.5</v>
      </c>
    </row>
    <row r="94" spans="1:20">
      <c r="A94" s="6" t="s">
        <v>294</v>
      </c>
      <c r="B94" s="3">
        <v>45792</v>
      </c>
      <c r="C94" s="6" t="s">
        <v>295</v>
      </c>
      <c r="D94" s="6">
        <v>42</v>
      </c>
      <c r="E94" s="6" t="s">
        <v>22</v>
      </c>
      <c r="F94" s="6" t="s">
        <v>77</v>
      </c>
      <c r="G94" s="6" t="s">
        <v>100</v>
      </c>
      <c r="H94" s="6" t="s">
        <v>79</v>
      </c>
      <c r="I94" s="6" t="s">
        <v>296</v>
      </c>
      <c r="J94" s="6" t="s">
        <v>84</v>
      </c>
      <c r="K94" s="6" t="s">
        <v>28</v>
      </c>
      <c r="L94" s="6" t="s">
        <v>29</v>
      </c>
      <c r="M94" s="6" t="s">
        <v>74</v>
      </c>
      <c r="N94" s="6">
        <v>24</v>
      </c>
      <c r="O94" s="6">
        <v>0</v>
      </c>
      <c r="P94" s="6">
        <v>0</v>
      </c>
      <c r="Q94" s="6" t="s">
        <v>48</v>
      </c>
      <c r="R94" s="6" t="s">
        <v>31</v>
      </c>
      <c r="S94" s="6" t="s">
        <v>32</v>
      </c>
      <c r="T94" s="6">
        <v>2.73</v>
      </c>
    </row>
    <row r="95" spans="1:20">
      <c r="A95" s="6" t="s">
        <v>297</v>
      </c>
      <c r="B95" s="3">
        <v>45784</v>
      </c>
      <c r="C95" s="6" t="s">
        <v>298</v>
      </c>
      <c r="D95" s="6">
        <v>19</v>
      </c>
      <c r="E95" s="6" t="s">
        <v>22</v>
      </c>
      <c r="F95" s="6" t="s">
        <v>23</v>
      </c>
      <c r="G95" s="6" t="s">
        <v>71</v>
      </c>
      <c r="H95" s="6" t="s">
        <v>45</v>
      </c>
      <c r="I95" s="6" t="s">
        <v>299</v>
      </c>
      <c r="J95" s="6" t="s">
        <v>60</v>
      </c>
      <c r="K95" s="6" t="s">
        <v>88</v>
      </c>
      <c r="L95" s="6" t="s">
        <v>68</v>
      </c>
      <c r="M95" s="6" t="s">
        <v>30</v>
      </c>
      <c r="N95" s="6">
        <v>20</v>
      </c>
      <c r="O95" s="6">
        <v>33</v>
      </c>
      <c r="P95" s="6">
        <v>1192</v>
      </c>
      <c r="Q95" s="6" t="s">
        <v>31</v>
      </c>
      <c r="R95" s="6" t="s">
        <v>31</v>
      </c>
      <c r="S95" s="6" t="s">
        <v>49</v>
      </c>
      <c r="T95" s="6">
        <v>4.8</v>
      </c>
    </row>
    <row r="96" spans="1:20">
      <c r="A96" s="6" t="s">
        <v>300</v>
      </c>
      <c r="B96" s="3">
        <v>45803</v>
      </c>
      <c r="C96" s="6" t="s">
        <v>301</v>
      </c>
      <c r="D96" s="6">
        <v>69</v>
      </c>
      <c r="E96" s="6" t="s">
        <v>52</v>
      </c>
      <c r="F96" s="6" t="s">
        <v>53</v>
      </c>
      <c r="G96" s="6" t="s">
        <v>91</v>
      </c>
      <c r="H96" s="6" t="s">
        <v>92</v>
      </c>
      <c r="I96" s="6" t="s">
        <v>302</v>
      </c>
      <c r="J96" s="6" t="s">
        <v>94</v>
      </c>
      <c r="K96" s="6" t="s">
        <v>28</v>
      </c>
      <c r="L96" s="6" t="s">
        <v>29</v>
      </c>
      <c r="M96" s="6" t="s">
        <v>30</v>
      </c>
      <c r="N96" s="6">
        <v>16</v>
      </c>
      <c r="O96" s="6">
        <v>45</v>
      </c>
      <c r="P96" s="6">
        <v>532</v>
      </c>
      <c r="Q96" s="6" t="s">
        <v>48</v>
      </c>
      <c r="R96" s="6" t="s">
        <v>48</v>
      </c>
      <c r="S96" s="6" t="s">
        <v>49</v>
      </c>
      <c r="T96" s="6">
        <v>4.0999999999999996</v>
      </c>
    </row>
    <row r="97" spans="1:20">
      <c r="A97" s="6" t="s">
        <v>303</v>
      </c>
      <c r="B97" s="3">
        <v>45780</v>
      </c>
      <c r="C97" s="6" t="s">
        <v>304</v>
      </c>
      <c r="D97" s="6">
        <v>47</v>
      </c>
      <c r="E97" s="6" t="s">
        <v>22</v>
      </c>
      <c r="F97" s="6" t="s">
        <v>53</v>
      </c>
      <c r="G97" s="6" t="s">
        <v>91</v>
      </c>
      <c r="H97" s="6" t="s">
        <v>55</v>
      </c>
      <c r="I97" s="6" t="s">
        <v>174</v>
      </c>
      <c r="J97" s="6" t="s">
        <v>73</v>
      </c>
      <c r="K97" s="6" t="s">
        <v>28</v>
      </c>
      <c r="L97" s="6" t="s">
        <v>29</v>
      </c>
      <c r="M97" s="6" t="s">
        <v>30</v>
      </c>
      <c r="N97" s="6">
        <v>24</v>
      </c>
      <c r="O97" s="6">
        <v>5</v>
      </c>
      <c r="P97" s="6">
        <v>534</v>
      </c>
      <c r="Q97" s="6" t="s">
        <v>48</v>
      </c>
      <c r="R97" s="6" t="s">
        <v>31</v>
      </c>
      <c r="S97" s="6" t="s">
        <v>32</v>
      </c>
      <c r="T97" s="6">
        <v>3.6</v>
      </c>
    </row>
    <row r="98" spans="1:20">
      <c r="A98" s="6" t="s">
        <v>305</v>
      </c>
      <c r="B98" s="3">
        <v>45783</v>
      </c>
      <c r="C98" s="6" t="s">
        <v>306</v>
      </c>
      <c r="D98" s="6">
        <v>67</v>
      </c>
      <c r="E98" s="6" t="s">
        <v>22</v>
      </c>
      <c r="F98" s="6" t="s">
        <v>77</v>
      </c>
      <c r="G98" s="6" t="s">
        <v>138</v>
      </c>
      <c r="H98" s="6" t="s">
        <v>147</v>
      </c>
      <c r="I98" s="6" t="s">
        <v>139</v>
      </c>
      <c r="J98" s="6" t="s">
        <v>73</v>
      </c>
      <c r="K98" s="6" t="s">
        <v>88</v>
      </c>
      <c r="L98" s="6" t="s">
        <v>68</v>
      </c>
      <c r="M98" s="6" t="s">
        <v>30</v>
      </c>
      <c r="N98" s="6">
        <v>18</v>
      </c>
      <c r="O98" s="6">
        <v>32</v>
      </c>
      <c r="P98" s="6">
        <v>513</v>
      </c>
      <c r="Q98" s="6" t="s">
        <v>31</v>
      </c>
      <c r="R98" s="6" t="s">
        <v>31</v>
      </c>
      <c r="S98" s="6" t="s">
        <v>49</v>
      </c>
      <c r="T98" s="6">
        <v>4.7</v>
      </c>
    </row>
    <row r="99" spans="1:20">
      <c r="A99" s="6" t="s">
        <v>307</v>
      </c>
      <c r="B99" s="3">
        <v>45801</v>
      </c>
      <c r="C99" s="6" t="s">
        <v>308</v>
      </c>
      <c r="D99" s="6">
        <v>58</v>
      </c>
      <c r="E99" s="6" t="s">
        <v>52</v>
      </c>
      <c r="F99" s="6" t="s">
        <v>53</v>
      </c>
      <c r="G99" s="6" t="s">
        <v>91</v>
      </c>
      <c r="H99" s="6" t="s">
        <v>55</v>
      </c>
      <c r="I99" s="6" t="s">
        <v>309</v>
      </c>
      <c r="J99" s="6" t="s">
        <v>60</v>
      </c>
      <c r="K99" s="6" t="s">
        <v>47</v>
      </c>
      <c r="L99" s="6" t="s">
        <v>68</v>
      </c>
      <c r="M99" s="6" t="s">
        <v>30</v>
      </c>
      <c r="N99" s="6">
        <v>24</v>
      </c>
      <c r="O99" s="6">
        <v>34</v>
      </c>
      <c r="P99" s="6">
        <v>591</v>
      </c>
      <c r="Q99" s="6" t="s">
        <v>48</v>
      </c>
      <c r="R99" s="6" t="s">
        <v>48</v>
      </c>
      <c r="S99" s="6" t="s">
        <v>49</v>
      </c>
      <c r="T99" s="6">
        <v>4</v>
      </c>
    </row>
    <row r="100" spans="1:20">
      <c r="A100" s="6" t="s">
        <v>310</v>
      </c>
      <c r="B100" s="3">
        <v>45798</v>
      </c>
      <c r="C100" s="6" t="s">
        <v>289</v>
      </c>
      <c r="D100" s="6">
        <v>67</v>
      </c>
      <c r="E100" s="6" t="s">
        <v>52</v>
      </c>
      <c r="F100" s="6" t="s">
        <v>53</v>
      </c>
      <c r="G100" s="6" t="s">
        <v>91</v>
      </c>
      <c r="H100" s="6" t="s">
        <v>55</v>
      </c>
      <c r="I100" s="6" t="s">
        <v>255</v>
      </c>
      <c r="J100" s="6" t="s">
        <v>39</v>
      </c>
      <c r="K100" s="6" t="s">
        <v>28</v>
      </c>
      <c r="L100" s="6" t="s">
        <v>29</v>
      </c>
      <c r="M100" s="6" t="s">
        <v>74</v>
      </c>
      <c r="N100" s="6">
        <v>24</v>
      </c>
      <c r="O100" s="6">
        <v>0</v>
      </c>
      <c r="P100" s="6">
        <v>0</v>
      </c>
      <c r="Q100" s="6" t="s">
        <v>48</v>
      </c>
      <c r="R100" s="6" t="s">
        <v>48</v>
      </c>
      <c r="S100" s="6" t="s">
        <v>49</v>
      </c>
      <c r="T100" s="6">
        <v>2.73</v>
      </c>
    </row>
    <row r="101" spans="1:20">
      <c r="A101" s="6" t="s">
        <v>311</v>
      </c>
      <c r="B101" s="3">
        <v>45782</v>
      </c>
      <c r="C101" s="6" t="s">
        <v>250</v>
      </c>
      <c r="D101" s="6">
        <v>44</v>
      </c>
      <c r="E101" s="6" t="s">
        <v>52</v>
      </c>
      <c r="F101" s="6" t="s">
        <v>53</v>
      </c>
      <c r="G101" s="6" t="s">
        <v>54</v>
      </c>
      <c r="H101" s="6" t="s">
        <v>55</v>
      </c>
      <c r="I101" s="6" t="s">
        <v>259</v>
      </c>
      <c r="J101" s="6" t="s">
        <v>113</v>
      </c>
      <c r="K101" s="6" t="s">
        <v>88</v>
      </c>
      <c r="L101" s="6" t="s">
        <v>68</v>
      </c>
      <c r="M101" s="6" t="s">
        <v>30</v>
      </c>
      <c r="N101" s="6">
        <v>19</v>
      </c>
      <c r="O101" s="6">
        <v>13</v>
      </c>
      <c r="P101" s="6">
        <v>1096</v>
      </c>
      <c r="Q101" s="6" t="s">
        <v>48</v>
      </c>
      <c r="R101" s="6" t="s">
        <v>31</v>
      </c>
      <c r="S101" s="6" t="s">
        <v>32</v>
      </c>
      <c r="T101" s="6">
        <v>4.2</v>
      </c>
    </row>
    <row r="102" spans="1:20">
      <c r="A102" s="6" t="s">
        <v>312</v>
      </c>
      <c r="B102" s="3">
        <v>45807</v>
      </c>
      <c r="C102" s="6" t="s">
        <v>313</v>
      </c>
      <c r="D102" s="6">
        <v>27</v>
      </c>
      <c r="E102" s="6" t="s">
        <v>22</v>
      </c>
      <c r="F102" s="6" t="s">
        <v>53</v>
      </c>
      <c r="G102" s="6" t="s">
        <v>91</v>
      </c>
      <c r="H102" s="6" t="s">
        <v>125</v>
      </c>
      <c r="I102" s="6" t="s">
        <v>314</v>
      </c>
      <c r="J102" s="6" t="s">
        <v>73</v>
      </c>
      <c r="K102" s="6" t="s">
        <v>88</v>
      </c>
      <c r="L102" s="6" t="s">
        <v>29</v>
      </c>
      <c r="M102" s="6" t="s">
        <v>30</v>
      </c>
      <c r="N102" s="6">
        <v>6</v>
      </c>
      <c r="O102" s="6">
        <v>18</v>
      </c>
      <c r="P102" s="6">
        <v>1186</v>
      </c>
      <c r="Q102" s="6" t="s">
        <v>31</v>
      </c>
      <c r="R102" s="6" t="s">
        <v>31</v>
      </c>
      <c r="S102" s="6" t="s">
        <v>41</v>
      </c>
      <c r="T102" s="6">
        <v>4.7</v>
      </c>
    </row>
    <row r="103" spans="1:20">
      <c r="A103" s="6" t="s">
        <v>315</v>
      </c>
      <c r="B103" s="3">
        <v>45787</v>
      </c>
      <c r="C103" s="6" t="s">
        <v>198</v>
      </c>
      <c r="D103" s="6">
        <v>43</v>
      </c>
      <c r="E103" s="6" t="s">
        <v>52</v>
      </c>
      <c r="F103" s="6" t="s">
        <v>53</v>
      </c>
      <c r="G103" s="6" t="s">
        <v>58</v>
      </c>
      <c r="H103" s="6" t="s">
        <v>55</v>
      </c>
      <c r="I103" s="6" t="s">
        <v>316</v>
      </c>
      <c r="J103" s="6" t="s">
        <v>84</v>
      </c>
      <c r="K103" s="6" t="s">
        <v>47</v>
      </c>
      <c r="L103" s="6" t="s">
        <v>68</v>
      </c>
      <c r="M103" s="6" t="s">
        <v>30</v>
      </c>
      <c r="N103" s="6">
        <v>12</v>
      </c>
      <c r="O103" s="6">
        <v>13</v>
      </c>
      <c r="P103" s="6">
        <v>1122</v>
      </c>
      <c r="Q103" s="6" t="s">
        <v>31</v>
      </c>
      <c r="R103" s="6" t="s">
        <v>48</v>
      </c>
      <c r="S103" s="6" t="s">
        <v>41</v>
      </c>
      <c r="T103" s="6">
        <v>3.1</v>
      </c>
    </row>
    <row r="104" spans="1:20">
      <c r="A104" s="6" t="s">
        <v>317</v>
      </c>
      <c r="B104" s="3">
        <v>45792</v>
      </c>
      <c r="C104" s="6" t="s">
        <v>318</v>
      </c>
      <c r="D104" s="6">
        <v>43</v>
      </c>
      <c r="E104" s="6" t="s">
        <v>22</v>
      </c>
      <c r="F104" s="6" t="s">
        <v>23</v>
      </c>
      <c r="G104" s="6" t="s">
        <v>24</v>
      </c>
      <c r="H104" s="6" t="s">
        <v>134</v>
      </c>
      <c r="I104" s="6" t="s">
        <v>168</v>
      </c>
      <c r="J104" s="6" t="s">
        <v>67</v>
      </c>
      <c r="K104" s="6" t="s">
        <v>88</v>
      </c>
      <c r="L104" s="6" t="s">
        <v>40</v>
      </c>
      <c r="M104" s="6" t="s">
        <v>30</v>
      </c>
      <c r="N104" s="6">
        <v>23</v>
      </c>
      <c r="O104" s="6">
        <v>35</v>
      </c>
      <c r="P104" s="6">
        <v>798</v>
      </c>
      <c r="Q104" s="6" t="s">
        <v>31</v>
      </c>
      <c r="R104" s="6" t="s">
        <v>31</v>
      </c>
      <c r="S104" s="6" t="s">
        <v>41</v>
      </c>
      <c r="T104" s="6">
        <v>3.7</v>
      </c>
    </row>
    <row r="105" spans="1:20">
      <c r="A105" s="6" t="s">
        <v>319</v>
      </c>
      <c r="B105" s="3">
        <v>45779</v>
      </c>
      <c r="C105" s="6" t="s">
        <v>320</v>
      </c>
      <c r="D105" s="6">
        <v>66</v>
      </c>
      <c r="E105" s="6" t="s">
        <v>22</v>
      </c>
      <c r="F105" s="6" t="s">
        <v>53</v>
      </c>
      <c r="G105" s="6" t="s">
        <v>91</v>
      </c>
      <c r="H105" s="6" t="s">
        <v>125</v>
      </c>
      <c r="I105" s="6" t="s">
        <v>210</v>
      </c>
      <c r="J105" s="6" t="s">
        <v>73</v>
      </c>
      <c r="K105" s="6" t="s">
        <v>28</v>
      </c>
      <c r="L105" s="6" t="s">
        <v>29</v>
      </c>
      <c r="M105" s="6" t="s">
        <v>74</v>
      </c>
      <c r="N105" s="6">
        <v>11</v>
      </c>
      <c r="O105" s="6">
        <v>0</v>
      </c>
      <c r="P105" s="6">
        <v>0</v>
      </c>
      <c r="Q105" s="6" t="s">
        <v>48</v>
      </c>
      <c r="R105" s="6" t="s">
        <v>31</v>
      </c>
      <c r="S105" s="6" t="s">
        <v>41</v>
      </c>
      <c r="T105" s="6">
        <v>2.73</v>
      </c>
    </row>
    <row r="106" spans="1:20">
      <c r="A106" s="6" t="s">
        <v>321</v>
      </c>
      <c r="B106" s="3">
        <v>45793</v>
      </c>
      <c r="C106" s="6" t="s">
        <v>130</v>
      </c>
      <c r="D106" s="6">
        <v>38</v>
      </c>
      <c r="E106" s="6" t="s">
        <v>52</v>
      </c>
      <c r="F106" s="6" t="s">
        <v>23</v>
      </c>
      <c r="G106" s="6" t="s">
        <v>24</v>
      </c>
      <c r="H106" s="6" t="s">
        <v>25</v>
      </c>
      <c r="I106" s="6" t="s">
        <v>148</v>
      </c>
      <c r="J106" s="6" t="s">
        <v>60</v>
      </c>
      <c r="K106" s="6" t="s">
        <v>88</v>
      </c>
      <c r="L106" s="6" t="s">
        <v>40</v>
      </c>
      <c r="M106" s="6" t="s">
        <v>30</v>
      </c>
      <c r="N106" s="6">
        <v>10</v>
      </c>
      <c r="O106" s="6">
        <v>25</v>
      </c>
      <c r="P106" s="6">
        <v>1012</v>
      </c>
      <c r="Q106" s="6" t="s">
        <v>31</v>
      </c>
      <c r="R106" s="6" t="s">
        <v>31</v>
      </c>
      <c r="S106" s="6" t="s">
        <v>41</v>
      </c>
      <c r="T106" s="6">
        <v>4.2</v>
      </c>
    </row>
    <row r="107" spans="1:20">
      <c r="A107" s="6" t="s">
        <v>322</v>
      </c>
      <c r="B107" s="3">
        <v>45793</v>
      </c>
      <c r="C107" s="6" t="s">
        <v>323</v>
      </c>
      <c r="D107" s="6">
        <v>56</v>
      </c>
      <c r="E107" s="6" t="s">
        <v>52</v>
      </c>
      <c r="F107" s="6" t="s">
        <v>23</v>
      </c>
      <c r="G107" s="6" t="s">
        <v>44</v>
      </c>
      <c r="H107" s="6" t="s">
        <v>134</v>
      </c>
      <c r="I107" s="6" t="s">
        <v>244</v>
      </c>
      <c r="J107" s="6" t="s">
        <v>73</v>
      </c>
      <c r="K107" s="6" t="s">
        <v>88</v>
      </c>
      <c r="L107" s="6" t="s">
        <v>40</v>
      </c>
      <c r="M107" s="6" t="s">
        <v>61</v>
      </c>
      <c r="N107" s="6">
        <v>13</v>
      </c>
      <c r="O107" s="6">
        <v>0</v>
      </c>
      <c r="P107" s="6">
        <v>0</v>
      </c>
      <c r="Q107" s="6" t="s">
        <v>31</v>
      </c>
      <c r="R107" s="6" t="s">
        <v>31</v>
      </c>
      <c r="S107" s="6" t="s">
        <v>41</v>
      </c>
      <c r="T107" s="6">
        <v>2.73</v>
      </c>
    </row>
    <row r="108" spans="1:20">
      <c r="A108" s="6" t="s">
        <v>324</v>
      </c>
      <c r="B108" s="3">
        <v>45807</v>
      </c>
      <c r="C108" s="6" t="s">
        <v>206</v>
      </c>
      <c r="D108" s="6">
        <v>19</v>
      </c>
      <c r="E108" s="6" t="s">
        <v>52</v>
      </c>
      <c r="F108" s="6" t="s">
        <v>77</v>
      </c>
      <c r="G108" s="6" t="s">
        <v>78</v>
      </c>
      <c r="H108" s="6" t="s">
        <v>147</v>
      </c>
      <c r="I108" s="6" t="s">
        <v>325</v>
      </c>
      <c r="J108" s="6" t="s">
        <v>113</v>
      </c>
      <c r="K108" s="6" t="s">
        <v>28</v>
      </c>
      <c r="L108" s="6" t="s">
        <v>40</v>
      </c>
      <c r="M108" s="6" t="s">
        <v>30</v>
      </c>
      <c r="N108" s="6">
        <v>15</v>
      </c>
      <c r="O108" s="6">
        <v>26</v>
      </c>
      <c r="P108" s="6">
        <v>710</v>
      </c>
      <c r="Q108" s="6" t="s">
        <v>31</v>
      </c>
      <c r="R108" s="6" t="s">
        <v>48</v>
      </c>
      <c r="S108" s="6" t="s">
        <v>32</v>
      </c>
      <c r="T108" s="6">
        <v>3.8</v>
      </c>
    </row>
    <row r="109" spans="1:20">
      <c r="A109" s="6" t="s">
        <v>326</v>
      </c>
      <c r="B109" s="3">
        <v>45786</v>
      </c>
      <c r="C109" s="6" t="s">
        <v>327</v>
      </c>
      <c r="D109" s="6">
        <v>38</v>
      </c>
      <c r="E109" s="6" t="s">
        <v>22</v>
      </c>
      <c r="F109" s="6" t="s">
        <v>35</v>
      </c>
      <c r="G109" s="6" t="s">
        <v>36</v>
      </c>
      <c r="H109" s="6" t="s">
        <v>116</v>
      </c>
      <c r="I109" s="6" t="s">
        <v>316</v>
      </c>
      <c r="J109" s="6" t="s">
        <v>39</v>
      </c>
      <c r="K109" s="6" t="s">
        <v>47</v>
      </c>
      <c r="L109" s="6" t="s">
        <v>29</v>
      </c>
      <c r="M109" s="6" t="s">
        <v>30</v>
      </c>
      <c r="N109" s="6">
        <v>19</v>
      </c>
      <c r="O109" s="6">
        <v>34</v>
      </c>
      <c r="P109" s="6">
        <v>1101</v>
      </c>
      <c r="Q109" s="6" t="s">
        <v>48</v>
      </c>
      <c r="R109" s="6" t="s">
        <v>31</v>
      </c>
      <c r="S109" s="6" t="s">
        <v>41</v>
      </c>
      <c r="T109" s="6">
        <v>4.0999999999999996</v>
      </c>
    </row>
    <row r="110" spans="1:20">
      <c r="A110" s="6" t="s">
        <v>328</v>
      </c>
      <c r="B110" s="3">
        <v>45779</v>
      </c>
      <c r="C110" s="6" t="s">
        <v>329</v>
      </c>
      <c r="D110" s="6">
        <v>53</v>
      </c>
      <c r="E110" s="6" t="s">
        <v>52</v>
      </c>
      <c r="F110" s="6" t="s">
        <v>53</v>
      </c>
      <c r="G110" s="6" t="s">
        <v>58</v>
      </c>
      <c r="H110" s="6" t="s">
        <v>92</v>
      </c>
      <c r="I110" s="6" t="s">
        <v>83</v>
      </c>
      <c r="J110" s="6" t="s">
        <v>27</v>
      </c>
      <c r="K110" s="6" t="s">
        <v>47</v>
      </c>
      <c r="L110" s="6" t="s">
        <v>29</v>
      </c>
      <c r="M110" s="6" t="s">
        <v>30</v>
      </c>
      <c r="N110" s="6">
        <v>14</v>
      </c>
      <c r="O110" s="6">
        <v>7</v>
      </c>
      <c r="P110" s="6">
        <v>1177</v>
      </c>
      <c r="Q110" s="6" t="s">
        <v>48</v>
      </c>
      <c r="R110" s="6" t="s">
        <v>31</v>
      </c>
      <c r="S110" s="6" t="s">
        <v>49</v>
      </c>
      <c r="T110" s="6">
        <v>4.8</v>
      </c>
    </row>
    <row r="111" spans="1:20">
      <c r="A111" s="6" t="s">
        <v>330</v>
      </c>
      <c r="B111" s="3">
        <v>45799</v>
      </c>
      <c r="C111" s="6" t="s">
        <v>331</v>
      </c>
      <c r="D111" s="6">
        <v>70</v>
      </c>
      <c r="E111" s="6" t="s">
        <v>52</v>
      </c>
      <c r="F111" s="6" t="s">
        <v>53</v>
      </c>
      <c r="G111" s="6" t="s">
        <v>91</v>
      </c>
      <c r="H111" s="6" t="s">
        <v>55</v>
      </c>
      <c r="I111" s="6" t="s">
        <v>244</v>
      </c>
      <c r="J111" s="6" t="s">
        <v>60</v>
      </c>
      <c r="K111" s="6" t="s">
        <v>88</v>
      </c>
      <c r="L111" s="6" t="s">
        <v>40</v>
      </c>
      <c r="M111" s="6" t="s">
        <v>30</v>
      </c>
      <c r="N111" s="6">
        <v>22</v>
      </c>
      <c r="O111" s="6">
        <v>44</v>
      </c>
      <c r="P111" s="6">
        <v>956</v>
      </c>
      <c r="Q111" s="6" t="s">
        <v>31</v>
      </c>
      <c r="R111" s="6" t="s">
        <v>31</v>
      </c>
      <c r="S111" s="6" t="s">
        <v>32</v>
      </c>
      <c r="T111" s="6">
        <v>3.3</v>
      </c>
    </row>
    <row r="112" spans="1:20">
      <c r="A112" s="6" t="s">
        <v>332</v>
      </c>
      <c r="B112" s="3">
        <v>45798</v>
      </c>
      <c r="C112" s="6" t="s">
        <v>333</v>
      </c>
      <c r="D112" s="6">
        <v>53</v>
      </c>
      <c r="E112" s="6" t="s">
        <v>22</v>
      </c>
      <c r="F112" s="6" t="s">
        <v>77</v>
      </c>
      <c r="G112" s="6" t="s">
        <v>78</v>
      </c>
      <c r="H112" s="6" t="s">
        <v>79</v>
      </c>
      <c r="I112" s="6" t="s">
        <v>150</v>
      </c>
      <c r="J112" s="6" t="s">
        <v>39</v>
      </c>
      <c r="K112" s="6" t="s">
        <v>28</v>
      </c>
      <c r="L112" s="6" t="s">
        <v>68</v>
      </c>
      <c r="M112" s="6" t="s">
        <v>30</v>
      </c>
      <c r="N112" s="6">
        <v>18</v>
      </c>
      <c r="O112" s="6">
        <v>41</v>
      </c>
      <c r="P112" s="6">
        <v>1374</v>
      </c>
      <c r="Q112" s="6" t="s">
        <v>31</v>
      </c>
      <c r="R112" s="6" t="s">
        <v>48</v>
      </c>
      <c r="S112" s="6" t="s">
        <v>41</v>
      </c>
      <c r="T112" s="6">
        <v>4</v>
      </c>
    </row>
    <row r="113" spans="1:20">
      <c r="A113" s="6" t="s">
        <v>334</v>
      </c>
      <c r="B113" s="3">
        <v>45806</v>
      </c>
      <c r="C113" s="6" t="s">
        <v>96</v>
      </c>
      <c r="D113" s="6">
        <v>74</v>
      </c>
      <c r="E113" s="6" t="s">
        <v>22</v>
      </c>
      <c r="F113" s="6" t="s">
        <v>23</v>
      </c>
      <c r="G113" s="6" t="s">
        <v>24</v>
      </c>
      <c r="H113" s="6" t="s">
        <v>25</v>
      </c>
      <c r="I113" s="6" t="s">
        <v>279</v>
      </c>
      <c r="J113" s="6" t="s">
        <v>94</v>
      </c>
      <c r="K113" s="6" t="s">
        <v>47</v>
      </c>
      <c r="L113" s="6" t="s">
        <v>40</v>
      </c>
      <c r="M113" s="6" t="s">
        <v>107</v>
      </c>
      <c r="N113" s="6">
        <v>6</v>
      </c>
      <c r="O113" s="6">
        <v>0</v>
      </c>
      <c r="P113" s="6">
        <v>0</v>
      </c>
      <c r="Q113" s="6" t="s">
        <v>31</v>
      </c>
      <c r="R113" s="6" t="s">
        <v>31</v>
      </c>
      <c r="S113" s="6" t="s">
        <v>49</v>
      </c>
      <c r="T113" s="6">
        <v>2.73</v>
      </c>
    </row>
    <row r="114" spans="1:20">
      <c r="A114" s="6" t="s">
        <v>335</v>
      </c>
      <c r="B114" s="3">
        <v>45798</v>
      </c>
      <c r="C114" s="6" t="s">
        <v>336</v>
      </c>
      <c r="D114" s="6">
        <v>74</v>
      </c>
      <c r="E114" s="6" t="s">
        <v>22</v>
      </c>
      <c r="F114" s="6" t="s">
        <v>23</v>
      </c>
      <c r="G114" s="6" t="s">
        <v>24</v>
      </c>
      <c r="H114" s="6" t="s">
        <v>134</v>
      </c>
      <c r="I114" s="6" t="s">
        <v>284</v>
      </c>
      <c r="J114" s="6" t="s">
        <v>73</v>
      </c>
      <c r="K114" s="6" t="s">
        <v>88</v>
      </c>
      <c r="L114" s="6" t="s">
        <v>68</v>
      </c>
      <c r="M114" s="6" t="s">
        <v>30</v>
      </c>
      <c r="N114" s="6">
        <v>21</v>
      </c>
      <c r="O114" s="6">
        <v>29</v>
      </c>
      <c r="P114" s="6">
        <v>958</v>
      </c>
      <c r="Q114" s="6" t="s">
        <v>48</v>
      </c>
      <c r="R114" s="6" t="s">
        <v>31</v>
      </c>
      <c r="S114" s="6" t="s">
        <v>41</v>
      </c>
      <c r="T114" s="6">
        <v>3.4</v>
      </c>
    </row>
    <row r="115" spans="1:20">
      <c r="A115" s="6" t="s">
        <v>337</v>
      </c>
      <c r="B115" s="3">
        <v>45788</v>
      </c>
      <c r="C115" s="6" t="s">
        <v>243</v>
      </c>
      <c r="D115" s="6">
        <v>57</v>
      </c>
      <c r="E115" s="6" t="s">
        <v>52</v>
      </c>
      <c r="F115" s="6" t="s">
        <v>53</v>
      </c>
      <c r="G115" s="6" t="s">
        <v>91</v>
      </c>
      <c r="H115" s="6" t="s">
        <v>55</v>
      </c>
      <c r="I115" s="6" t="s">
        <v>196</v>
      </c>
      <c r="J115" s="6" t="s">
        <v>39</v>
      </c>
      <c r="K115" s="6" t="s">
        <v>47</v>
      </c>
      <c r="L115" s="6" t="s">
        <v>68</v>
      </c>
      <c r="M115" s="6" t="s">
        <v>30</v>
      </c>
      <c r="N115" s="6">
        <v>18</v>
      </c>
      <c r="O115" s="6">
        <v>32</v>
      </c>
      <c r="P115" s="6">
        <v>1071</v>
      </c>
      <c r="Q115" s="6" t="s">
        <v>31</v>
      </c>
      <c r="R115" s="6" t="s">
        <v>48</v>
      </c>
      <c r="S115" s="6" t="s">
        <v>49</v>
      </c>
      <c r="T115" s="6">
        <v>3.2</v>
      </c>
    </row>
    <row r="116" spans="1:20">
      <c r="A116" s="6" t="s">
        <v>338</v>
      </c>
      <c r="B116" s="3">
        <v>45783</v>
      </c>
      <c r="C116" s="6" t="s">
        <v>339</v>
      </c>
      <c r="D116" s="6">
        <v>34</v>
      </c>
      <c r="E116" s="6" t="s">
        <v>52</v>
      </c>
      <c r="F116" s="6" t="s">
        <v>77</v>
      </c>
      <c r="G116" s="6" t="s">
        <v>100</v>
      </c>
      <c r="H116" s="6" t="s">
        <v>101</v>
      </c>
      <c r="I116" s="6" t="s">
        <v>293</v>
      </c>
      <c r="J116" s="6" t="s">
        <v>113</v>
      </c>
      <c r="K116" s="6" t="s">
        <v>28</v>
      </c>
      <c r="L116" s="6" t="s">
        <v>68</v>
      </c>
      <c r="M116" s="6" t="s">
        <v>107</v>
      </c>
      <c r="N116" s="6">
        <v>12</v>
      </c>
      <c r="O116" s="6">
        <v>0</v>
      </c>
      <c r="P116" s="6">
        <v>0</v>
      </c>
      <c r="Q116" s="6" t="s">
        <v>48</v>
      </c>
      <c r="R116" s="6" t="s">
        <v>48</v>
      </c>
      <c r="S116" s="6" t="s">
        <v>49</v>
      </c>
      <c r="T116" s="6">
        <v>2.73</v>
      </c>
    </row>
    <row r="117" spans="1:20">
      <c r="A117" s="6" t="s">
        <v>340</v>
      </c>
      <c r="B117" s="3">
        <v>45791</v>
      </c>
      <c r="C117" s="6" t="s">
        <v>341</v>
      </c>
      <c r="D117" s="6">
        <v>32</v>
      </c>
      <c r="E117" s="6" t="s">
        <v>22</v>
      </c>
      <c r="F117" s="6" t="s">
        <v>35</v>
      </c>
      <c r="G117" s="6" t="s">
        <v>36</v>
      </c>
      <c r="H117" s="6" t="s">
        <v>116</v>
      </c>
      <c r="I117" s="6" t="s">
        <v>296</v>
      </c>
      <c r="J117" s="6" t="s">
        <v>27</v>
      </c>
      <c r="K117" s="6" t="s">
        <v>47</v>
      </c>
      <c r="L117" s="6" t="s">
        <v>29</v>
      </c>
      <c r="M117" s="6" t="s">
        <v>107</v>
      </c>
      <c r="N117" s="6">
        <v>20</v>
      </c>
      <c r="O117" s="6">
        <v>0</v>
      </c>
      <c r="P117" s="6">
        <v>0</v>
      </c>
      <c r="Q117" s="6" t="s">
        <v>48</v>
      </c>
      <c r="R117" s="6" t="s">
        <v>48</v>
      </c>
      <c r="S117" s="6" t="s">
        <v>49</v>
      </c>
      <c r="T117" s="6">
        <v>2.73</v>
      </c>
    </row>
    <row r="118" spans="1:20">
      <c r="A118" s="6" t="s">
        <v>342</v>
      </c>
      <c r="B118" s="3">
        <v>45806</v>
      </c>
      <c r="C118" s="6" t="s">
        <v>146</v>
      </c>
      <c r="D118" s="6">
        <v>51</v>
      </c>
      <c r="E118" s="6" t="s">
        <v>52</v>
      </c>
      <c r="F118" s="6" t="s">
        <v>35</v>
      </c>
      <c r="G118" s="6" t="s">
        <v>36</v>
      </c>
      <c r="H118" s="6" t="s">
        <v>116</v>
      </c>
      <c r="I118" s="6" t="s">
        <v>343</v>
      </c>
      <c r="J118" s="6" t="s">
        <v>94</v>
      </c>
      <c r="K118" s="6" t="s">
        <v>28</v>
      </c>
      <c r="L118" s="6" t="s">
        <v>40</v>
      </c>
      <c r="M118" s="6" t="s">
        <v>61</v>
      </c>
      <c r="N118" s="6">
        <v>7</v>
      </c>
      <c r="O118" s="6">
        <v>0</v>
      </c>
      <c r="P118" s="6">
        <v>0</v>
      </c>
      <c r="Q118" s="6" t="s">
        <v>31</v>
      </c>
      <c r="R118" s="6" t="s">
        <v>31</v>
      </c>
      <c r="S118" s="6" t="s">
        <v>49</v>
      </c>
      <c r="T118" s="6">
        <v>2.73</v>
      </c>
    </row>
    <row r="119" spans="1:20">
      <c r="A119" s="6" t="s">
        <v>344</v>
      </c>
      <c r="B119" s="3">
        <v>45799</v>
      </c>
      <c r="C119" s="6" t="s">
        <v>345</v>
      </c>
      <c r="D119" s="6">
        <v>23</v>
      </c>
      <c r="E119" s="6" t="s">
        <v>52</v>
      </c>
      <c r="F119" s="6" t="s">
        <v>77</v>
      </c>
      <c r="G119" s="6" t="s">
        <v>78</v>
      </c>
      <c r="H119" s="6" t="s">
        <v>147</v>
      </c>
      <c r="I119" s="6" t="s">
        <v>72</v>
      </c>
      <c r="J119" s="6" t="s">
        <v>67</v>
      </c>
      <c r="K119" s="6" t="s">
        <v>28</v>
      </c>
      <c r="L119" s="6" t="s">
        <v>68</v>
      </c>
      <c r="M119" s="6" t="s">
        <v>30</v>
      </c>
      <c r="N119" s="6">
        <v>6</v>
      </c>
      <c r="O119" s="6">
        <v>29</v>
      </c>
      <c r="P119" s="6">
        <v>670</v>
      </c>
      <c r="Q119" s="6" t="s">
        <v>31</v>
      </c>
      <c r="R119" s="6" t="s">
        <v>31</v>
      </c>
      <c r="S119" s="6" t="s">
        <v>49</v>
      </c>
      <c r="T119" s="6">
        <v>4</v>
      </c>
    </row>
    <row r="120" spans="1:20">
      <c r="A120" s="6" t="s">
        <v>346</v>
      </c>
      <c r="B120" s="3">
        <v>45791</v>
      </c>
      <c r="C120" s="6" t="s">
        <v>347</v>
      </c>
      <c r="D120" s="6">
        <v>45</v>
      </c>
      <c r="E120" s="6" t="s">
        <v>52</v>
      </c>
      <c r="F120" s="6" t="s">
        <v>53</v>
      </c>
      <c r="G120" s="6" t="s">
        <v>91</v>
      </c>
      <c r="H120" s="6" t="s">
        <v>55</v>
      </c>
      <c r="I120" s="6" t="s">
        <v>226</v>
      </c>
      <c r="J120" s="6" t="s">
        <v>113</v>
      </c>
      <c r="K120" s="6" t="s">
        <v>88</v>
      </c>
      <c r="L120" s="6" t="s">
        <v>29</v>
      </c>
      <c r="M120" s="6" t="s">
        <v>30</v>
      </c>
      <c r="N120" s="6">
        <v>7</v>
      </c>
      <c r="O120" s="6">
        <v>34</v>
      </c>
      <c r="P120" s="6">
        <v>523</v>
      </c>
      <c r="Q120" s="6" t="s">
        <v>31</v>
      </c>
      <c r="R120" s="6" t="s">
        <v>31</v>
      </c>
      <c r="S120" s="6" t="s">
        <v>49</v>
      </c>
      <c r="T120" s="6">
        <v>4.9000000000000004</v>
      </c>
    </row>
    <row r="121" spans="1:20">
      <c r="A121" s="6" t="s">
        <v>348</v>
      </c>
      <c r="B121" s="3">
        <v>45795</v>
      </c>
      <c r="C121" s="6" t="s">
        <v>349</v>
      </c>
      <c r="D121" s="6">
        <v>42</v>
      </c>
      <c r="E121" s="6" t="s">
        <v>22</v>
      </c>
      <c r="F121" s="6" t="s">
        <v>77</v>
      </c>
      <c r="G121" s="6" t="s">
        <v>100</v>
      </c>
      <c r="H121" s="6" t="s">
        <v>147</v>
      </c>
      <c r="I121" s="6" t="s">
        <v>350</v>
      </c>
      <c r="J121" s="6" t="s">
        <v>113</v>
      </c>
      <c r="K121" s="6" t="s">
        <v>88</v>
      </c>
      <c r="L121" s="6" t="s">
        <v>68</v>
      </c>
      <c r="M121" s="6" t="s">
        <v>107</v>
      </c>
      <c r="N121" s="6">
        <v>22</v>
      </c>
      <c r="O121" s="6">
        <v>0</v>
      </c>
      <c r="P121" s="6">
        <v>0</v>
      </c>
      <c r="Q121" s="6" t="s">
        <v>48</v>
      </c>
      <c r="R121" s="6" t="s">
        <v>31</v>
      </c>
      <c r="S121" s="6" t="s">
        <v>41</v>
      </c>
      <c r="T121" s="6">
        <v>2.73</v>
      </c>
    </row>
    <row r="122" spans="1:20">
      <c r="A122" s="6" t="s">
        <v>351</v>
      </c>
      <c r="B122" s="3">
        <v>45797</v>
      </c>
      <c r="C122" s="6" t="s">
        <v>352</v>
      </c>
      <c r="D122" s="6">
        <v>70</v>
      </c>
      <c r="E122" s="6" t="s">
        <v>22</v>
      </c>
      <c r="F122" s="6" t="s">
        <v>35</v>
      </c>
      <c r="G122" s="6" t="s">
        <v>36</v>
      </c>
      <c r="H122" s="6" t="s">
        <v>65</v>
      </c>
      <c r="I122" s="6" t="s">
        <v>93</v>
      </c>
      <c r="J122" s="6" t="s">
        <v>94</v>
      </c>
      <c r="K122" s="6" t="s">
        <v>28</v>
      </c>
      <c r="L122" s="6" t="s">
        <v>29</v>
      </c>
      <c r="M122" s="6" t="s">
        <v>30</v>
      </c>
      <c r="N122" s="6">
        <v>12</v>
      </c>
      <c r="O122" s="6">
        <v>29</v>
      </c>
      <c r="P122" s="6">
        <v>1108</v>
      </c>
      <c r="Q122" s="6" t="s">
        <v>48</v>
      </c>
      <c r="R122" s="6" t="s">
        <v>31</v>
      </c>
      <c r="S122" s="6" t="s">
        <v>49</v>
      </c>
      <c r="T122" s="6">
        <v>3.3</v>
      </c>
    </row>
    <row r="123" spans="1:20">
      <c r="A123" s="6" t="s">
        <v>353</v>
      </c>
      <c r="B123" s="3">
        <v>45785</v>
      </c>
      <c r="C123" s="6" t="s">
        <v>63</v>
      </c>
      <c r="D123" s="6">
        <v>65</v>
      </c>
      <c r="E123" s="6" t="s">
        <v>22</v>
      </c>
      <c r="F123" s="6" t="s">
        <v>23</v>
      </c>
      <c r="G123" s="6" t="s">
        <v>24</v>
      </c>
      <c r="H123" s="6" t="s">
        <v>45</v>
      </c>
      <c r="I123" s="6" t="s">
        <v>207</v>
      </c>
      <c r="J123" s="6" t="s">
        <v>73</v>
      </c>
      <c r="K123" s="6" t="s">
        <v>28</v>
      </c>
      <c r="L123" s="6" t="s">
        <v>40</v>
      </c>
      <c r="M123" s="6" t="s">
        <v>30</v>
      </c>
      <c r="N123" s="6">
        <v>17</v>
      </c>
      <c r="O123" s="6">
        <v>28</v>
      </c>
      <c r="P123" s="6">
        <v>879</v>
      </c>
      <c r="Q123" s="6" t="s">
        <v>31</v>
      </c>
      <c r="R123" s="6" t="s">
        <v>48</v>
      </c>
      <c r="S123" s="6" t="s">
        <v>32</v>
      </c>
      <c r="T123" s="6">
        <v>4.0999999999999996</v>
      </c>
    </row>
    <row r="124" spans="1:20">
      <c r="A124" s="6" t="s">
        <v>354</v>
      </c>
      <c r="B124" s="3">
        <v>45793</v>
      </c>
      <c r="C124" s="6" t="s">
        <v>355</v>
      </c>
      <c r="D124" s="6">
        <v>37</v>
      </c>
      <c r="E124" s="6" t="s">
        <v>52</v>
      </c>
      <c r="F124" s="6" t="s">
        <v>53</v>
      </c>
      <c r="G124" s="6" t="s">
        <v>91</v>
      </c>
      <c r="H124" s="6" t="s">
        <v>125</v>
      </c>
      <c r="I124" s="6" t="s">
        <v>139</v>
      </c>
      <c r="J124" s="6" t="s">
        <v>60</v>
      </c>
      <c r="K124" s="6" t="s">
        <v>28</v>
      </c>
      <c r="L124" s="6" t="s">
        <v>68</v>
      </c>
      <c r="M124" s="6" t="s">
        <v>107</v>
      </c>
      <c r="N124" s="6">
        <v>6</v>
      </c>
      <c r="O124" s="6">
        <v>0</v>
      </c>
      <c r="P124" s="6">
        <v>0</v>
      </c>
      <c r="Q124" s="6" t="s">
        <v>31</v>
      </c>
      <c r="R124" s="6" t="s">
        <v>31</v>
      </c>
      <c r="S124" s="6" t="s">
        <v>49</v>
      </c>
      <c r="T124" s="6">
        <v>2.73</v>
      </c>
    </row>
    <row r="125" spans="1:20">
      <c r="A125" s="6" t="s">
        <v>356</v>
      </c>
      <c r="B125" s="3">
        <v>45791</v>
      </c>
      <c r="C125" s="6" t="s">
        <v>146</v>
      </c>
      <c r="D125" s="6">
        <v>29</v>
      </c>
      <c r="E125" s="6" t="s">
        <v>52</v>
      </c>
      <c r="F125" s="6" t="s">
        <v>23</v>
      </c>
      <c r="G125" s="6" t="s">
        <v>44</v>
      </c>
      <c r="H125" s="6" t="s">
        <v>25</v>
      </c>
      <c r="I125" s="6" t="s">
        <v>296</v>
      </c>
      <c r="J125" s="6" t="s">
        <v>113</v>
      </c>
      <c r="K125" s="6" t="s">
        <v>47</v>
      </c>
      <c r="L125" s="6" t="s">
        <v>68</v>
      </c>
      <c r="M125" s="6" t="s">
        <v>30</v>
      </c>
      <c r="N125" s="6">
        <v>12</v>
      </c>
      <c r="O125" s="6">
        <v>14</v>
      </c>
      <c r="P125" s="6">
        <v>1015</v>
      </c>
      <c r="Q125" s="6" t="s">
        <v>48</v>
      </c>
      <c r="R125" s="6" t="s">
        <v>31</v>
      </c>
      <c r="S125" s="6" t="s">
        <v>49</v>
      </c>
      <c r="T125" s="6">
        <v>4.7</v>
      </c>
    </row>
    <row r="126" spans="1:20">
      <c r="A126" s="6" t="s">
        <v>357</v>
      </c>
      <c r="B126" s="3">
        <v>45803</v>
      </c>
      <c r="C126" s="6" t="s">
        <v>231</v>
      </c>
      <c r="D126" s="6">
        <v>46</v>
      </c>
      <c r="E126" s="6" t="s">
        <v>52</v>
      </c>
      <c r="F126" s="6" t="s">
        <v>35</v>
      </c>
      <c r="G126" s="6" t="s">
        <v>36</v>
      </c>
      <c r="H126" s="6" t="s">
        <v>116</v>
      </c>
      <c r="I126" s="6" t="s">
        <v>159</v>
      </c>
      <c r="J126" s="6" t="s">
        <v>67</v>
      </c>
      <c r="K126" s="6" t="s">
        <v>88</v>
      </c>
      <c r="L126" s="6" t="s">
        <v>29</v>
      </c>
      <c r="M126" s="6" t="s">
        <v>30</v>
      </c>
      <c r="N126" s="6">
        <v>7</v>
      </c>
      <c r="O126" s="6">
        <v>34</v>
      </c>
      <c r="P126" s="6">
        <v>790</v>
      </c>
      <c r="Q126" s="6" t="s">
        <v>31</v>
      </c>
      <c r="R126" s="6" t="s">
        <v>31</v>
      </c>
      <c r="S126" s="6" t="s">
        <v>32</v>
      </c>
      <c r="T126" s="6">
        <v>3.1</v>
      </c>
    </row>
    <row r="127" spans="1:20">
      <c r="A127" s="6" t="s">
        <v>358</v>
      </c>
      <c r="B127" s="3">
        <v>45792</v>
      </c>
      <c r="C127" s="6" t="s">
        <v>359</v>
      </c>
      <c r="D127" s="6">
        <v>65</v>
      </c>
      <c r="E127" s="6" t="s">
        <v>52</v>
      </c>
      <c r="F127" s="6" t="s">
        <v>77</v>
      </c>
      <c r="G127" s="6" t="s">
        <v>138</v>
      </c>
      <c r="H127" s="6" t="s">
        <v>79</v>
      </c>
      <c r="I127" s="6" t="s">
        <v>119</v>
      </c>
      <c r="J127" s="6" t="s">
        <v>60</v>
      </c>
      <c r="K127" s="6" t="s">
        <v>88</v>
      </c>
      <c r="L127" s="6" t="s">
        <v>29</v>
      </c>
      <c r="M127" s="6" t="s">
        <v>30</v>
      </c>
      <c r="N127" s="6">
        <v>12</v>
      </c>
      <c r="O127" s="6">
        <v>44</v>
      </c>
      <c r="P127" s="6">
        <v>818</v>
      </c>
      <c r="Q127" s="6" t="s">
        <v>31</v>
      </c>
      <c r="R127" s="6" t="s">
        <v>31</v>
      </c>
      <c r="S127" s="6" t="s">
        <v>32</v>
      </c>
      <c r="T127" s="6">
        <v>3.8</v>
      </c>
    </row>
    <row r="128" spans="1:20">
      <c r="A128" s="6" t="s">
        <v>360</v>
      </c>
      <c r="B128" s="3">
        <v>45801</v>
      </c>
      <c r="C128" s="6" t="s">
        <v>109</v>
      </c>
      <c r="D128" s="6">
        <v>31</v>
      </c>
      <c r="E128" s="6" t="s">
        <v>52</v>
      </c>
      <c r="F128" s="6" t="s">
        <v>53</v>
      </c>
      <c r="G128" s="6" t="s">
        <v>54</v>
      </c>
      <c r="H128" s="6" t="s">
        <v>92</v>
      </c>
      <c r="I128" s="6" t="s">
        <v>159</v>
      </c>
      <c r="J128" s="6" t="s">
        <v>60</v>
      </c>
      <c r="K128" s="6" t="s">
        <v>47</v>
      </c>
      <c r="L128" s="6" t="s">
        <v>68</v>
      </c>
      <c r="M128" s="6" t="s">
        <v>61</v>
      </c>
      <c r="N128" s="6">
        <v>15</v>
      </c>
      <c r="O128" s="6">
        <v>0</v>
      </c>
      <c r="P128" s="6">
        <v>0</v>
      </c>
      <c r="Q128" s="6" t="s">
        <v>48</v>
      </c>
      <c r="R128" s="6" t="s">
        <v>31</v>
      </c>
      <c r="S128" s="6" t="s">
        <v>41</v>
      </c>
      <c r="T128" s="6">
        <v>2.73</v>
      </c>
    </row>
    <row r="129" spans="1:20">
      <c r="A129" s="6" t="s">
        <v>361</v>
      </c>
      <c r="B129" s="3">
        <v>45793</v>
      </c>
      <c r="C129" s="6" t="s">
        <v>121</v>
      </c>
      <c r="D129" s="6">
        <v>49</v>
      </c>
      <c r="E129" s="6" t="s">
        <v>52</v>
      </c>
      <c r="F129" s="6" t="s">
        <v>77</v>
      </c>
      <c r="G129" s="6" t="s">
        <v>100</v>
      </c>
      <c r="H129" s="6" t="s">
        <v>101</v>
      </c>
      <c r="I129" s="6" t="s">
        <v>165</v>
      </c>
      <c r="J129" s="6" t="s">
        <v>113</v>
      </c>
      <c r="K129" s="6" t="s">
        <v>88</v>
      </c>
      <c r="L129" s="6" t="s">
        <v>29</v>
      </c>
      <c r="M129" s="6" t="s">
        <v>30</v>
      </c>
      <c r="N129" s="6">
        <v>13</v>
      </c>
      <c r="O129" s="6">
        <v>31</v>
      </c>
      <c r="P129" s="6">
        <v>1404</v>
      </c>
      <c r="Q129" s="6" t="s">
        <v>31</v>
      </c>
      <c r="R129" s="6" t="s">
        <v>31</v>
      </c>
      <c r="S129" s="6" t="s">
        <v>32</v>
      </c>
      <c r="T129" s="6">
        <v>3.9</v>
      </c>
    </row>
    <row r="130" spans="1:20">
      <c r="A130" s="6" t="s">
        <v>362</v>
      </c>
      <c r="B130" s="3">
        <v>45789</v>
      </c>
      <c r="C130" s="6" t="s">
        <v>141</v>
      </c>
      <c r="D130" s="6">
        <v>44</v>
      </c>
      <c r="E130" s="6" t="s">
        <v>22</v>
      </c>
      <c r="F130" s="6" t="s">
        <v>77</v>
      </c>
      <c r="G130" s="6" t="s">
        <v>78</v>
      </c>
      <c r="H130" s="6" t="s">
        <v>147</v>
      </c>
      <c r="I130" s="6" t="s">
        <v>26</v>
      </c>
      <c r="J130" s="6" t="s">
        <v>39</v>
      </c>
      <c r="K130" s="6" t="s">
        <v>47</v>
      </c>
      <c r="L130" s="6" t="s">
        <v>29</v>
      </c>
      <c r="M130" s="6" t="s">
        <v>30</v>
      </c>
      <c r="N130" s="6">
        <v>25</v>
      </c>
      <c r="O130" s="6">
        <v>14</v>
      </c>
      <c r="P130" s="6">
        <v>539</v>
      </c>
      <c r="Q130" s="6" t="s">
        <v>31</v>
      </c>
      <c r="R130" s="6" t="s">
        <v>48</v>
      </c>
      <c r="S130" s="6" t="s">
        <v>49</v>
      </c>
      <c r="T130" s="6">
        <v>4.4000000000000004</v>
      </c>
    </row>
    <row r="131" spans="1:20">
      <c r="A131" s="6" t="s">
        <v>363</v>
      </c>
      <c r="B131" s="3">
        <v>45794</v>
      </c>
      <c r="C131" s="6" t="s">
        <v>364</v>
      </c>
      <c r="D131" s="6">
        <v>19</v>
      </c>
      <c r="E131" s="6" t="s">
        <v>52</v>
      </c>
      <c r="F131" s="6" t="s">
        <v>23</v>
      </c>
      <c r="G131" s="6" t="s">
        <v>71</v>
      </c>
      <c r="H131" s="6" t="s">
        <v>25</v>
      </c>
      <c r="I131" s="6" t="s">
        <v>290</v>
      </c>
      <c r="J131" s="6" t="s">
        <v>84</v>
      </c>
      <c r="K131" s="6" t="s">
        <v>47</v>
      </c>
      <c r="L131" s="6" t="s">
        <v>68</v>
      </c>
      <c r="M131" s="6" t="s">
        <v>30</v>
      </c>
      <c r="N131" s="6">
        <v>22</v>
      </c>
      <c r="O131" s="6">
        <v>18</v>
      </c>
      <c r="P131" s="6">
        <v>435</v>
      </c>
      <c r="Q131" s="6" t="s">
        <v>48</v>
      </c>
      <c r="R131" s="6" t="s">
        <v>48</v>
      </c>
      <c r="S131" s="6" t="s">
        <v>32</v>
      </c>
      <c r="T131" s="6">
        <v>4</v>
      </c>
    </row>
    <row r="132" spans="1:20">
      <c r="A132" s="6" t="s">
        <v>365</v>
      </c>
      <c r="B132" s="3">
        <v>45790</v>
      </c>
      <c r="C132" s="6" t="s">
        <v>366</v>
      </c>
      <c r="D132" s="6">
        <v>47</v>
      </c>
      <c r="E132" s="6" t="s">
        <v>22</v>
      </c>
      <c r="F132" s="6" t="s">
        <v>77</v>
      </c>
      <c r="G132" s="6" t="s">
        <v>100</v>
      </c>
      <c r="H132" s="6" t="s">
        <v>79</v>
      </c>
      <c r="I132" s="6" t="s">
        <v>293</v>
      </c>
      <c r="J132" s="6" t="s">
        <v>27</v>
      </c>
      <c r="K132" s="6" t="s">
        <v>88</v>
      </c>
      <c r="L132" s="6" t="s">
        <v>68</v>
      </c>
      <c r="M132" s="6" t="s">
        <v>30</v>
      </c>
      <c r="N132" s="6">
        <v>12</v>
      </c>
      <c r="O132" s="6">
        <v>19</v>
      </c>
      <c r="P132" s="6">
        <v>565</v>
      </c>
      <c r="Q132" s="6" t="s">
        <v>48</v>
      </c>
      <c r="R132" s="6" t="s">
        <v>31</v>
      </c>
      <c r="S132" s="6" t="s">
        <v>49</v>
      </c>
      <c r="T132" s="6">
        <v>4.3</v>
      </c>
    </row>
    <row r="133" spans="1:20">
      <c r="A133" s="6" t="s">
        <v>367</v>
      </c>
      <c r="B133" s="3">
        <v>45807</v>
      </c>
      <c r="C133" s="6" t="s">
        <v>368</v>
      </c>
      <c r="D133" s="6">
        <v>75</v>
      </c>
      <c r="E133" s="6" t="s">
        <v>22</v>
      </c>
      <c r="F133" s="6" t="s">
        <v>35</v>
      </c>
      <c r="G133" s="6" t="s">
        <v>105</v>
      </c>
      <c r="H133" s="6" t="s">
        <v>116</v>
      </c>
      <c r="I133" s="6" t="s">
        <v>215</v>
      </c>
      <c r="J133" s="6" t="s">
        <v>39</v>
      </c>
      <c r="K133" s="6" t="s">
        <v>47</v>
      </c>
      <c r="L133" s="6" t="s">
        <v>29</v>
      </c>
      <c r="M133" s="6" t="s">
        <v>61</v>
      </c>
      <c r="N133" s="6">
        <v>12</v>
      </c>
      <c r="O133" s="6">
        <v>0</v>
      </c>
      <c r="P133" s="6">
        <v>0</v>
      </c>
      <c r="Q133" s="6" t="s">
        <v>48</v>
      </c>
      <c r="R133" s="6" t="s">
        <v>48</v>
      </c>
      <c r="S133" s="6" t="s">
        <v>32</v>
      </c>
      <c r="T133" s="6">
        <v>2.73</v>
      </c>
    </row>
    <row r="134" spans="1:20">
      <c r="A134" s="6" t="s">
        <v>369</v>
      </c>
      <c r="B134" s="3">
        <v>45803</v>
      </c>
      <c r="C134" s="6" t="s">
        <v>370</v>
      </c>
      <c r="D134" s="6">
        <v>22</v>
      </c>
      <c r="E134" s="6" t="s">
        <v>52</v>
      </c>
      <c r="F134" s="6" t="s">
        <v>23</v>
      </c>
      <c r="G134" s="6" t="s">
        <v>71</v>
      </c>
      <c r="H134" s="6" t="s">
        <v>134</v>
      </c>
      <c r="I134" s="6" t="s">
        <v>83</v>
      </c>
      <c r="J134" s="6" t="s">
        <v>39</v>
      </c>
      <c r="K134" s="6" t="s">
        <v>28</v>
      </c>
      <c r="L134" s="6" t="s">
        <v>68</v>
      </c>
      <c r="M134" s="6" t="s">
        <v>30</v>
      </c>
      <c r="N134" s="6">
        <v>10</v>
      </c>
      <c r="O134" s="6">
        <v>36</v>
      </c>
      <c r="P134" s="6">
        <v>892</v>
      </c>
      <c r="Q134" s="6" t="s">
        <v>31</v>
      </c>
      <c r="R134" s="6" t="s">
        <v>31</v>
      </c>
      <c r="S134" s="6" t="s">
        <v>32</v>
      </c>
      <c r="T134" s="6">
        <v>4.0999999999999996</v>
      </c>
    </row>
    <row r="135" spans="1:20">
      <c r="A135" s="6" t="s">
        <v>371</v>
      </c>
      <c r="B135" s="3">
        <v>45789</v>
      </c>
      <c r="C135" s="6" t="s">
        <v>372</v>
      </c>
      <c r="D135" s="6">
        <v>67</v>
      </c>
      <c r="E135" s="6" t="s">
        <v>52</v>
      </c>
      <c r="F135" s="6" t="s">
        <v>23</v>
      </c>
      <c r="G135" s="6" t="s">
        <v>71</v>
      </c>
      <c r="H135" s="6" t="s">
        <v>25</v>
      </c>
      <c r="I135" s="6" t="s">
        <v>316</v>
      </c>
      <c r="J135" s="6" t="s">
        <v>60</v>
      </c>
      <c r="K135" s="6" t="s">
        <v>28</v>
      </c>
      <c r="L135" s="6" t="s">
        <v>29</v>
      </c>
      <c r="M135" s="6" t="s">
        <v>61</v>
      </c>
      <c r="N135" s="6">
        <v>5</v>
      </c>
      <c r="O135" s="6">
        <v>0</v>
      </c>
      <c r="P135" s="6">
        <v>0</v>
      </c>
      <c r="Q135" s="6" t="s">
        <v>48</v>
      </c>
      <c r="R135" s="6" t="s">
        <v>31</v>
      </c>
      <c r="S135" s="6" t="s">
        <v>41</v>
      </c>
      <c r="T135" s="6">
        <v>2.73</v>
      </c>
    </row>
    <row r="136" spans="1:20">
      <c r="A136" s="6" t="s">
        <v>373</v>
      </c>
      <c r="B136" s="3">
        <v>45778</v>
      </c>
      <c r="C136" s="6" t="s">
        <v>364</v>
      </c>
      <c r="D136" s="6">
        <v>35</v>
      </c>
      <c r="E136" s="6" t="s">
        <v>22</v>
      </c>
      <c r="F136" s="6" t="s">
        <v>35</v>
      </c>
      <c r="G136" s="6" t="s">
        <v>64</v>
      </c>
      <c r="H136" s="6" t="s">
        <v>65</v>
      </c>
      <c r="I136" s="6" t="s">
        <v>259</v>
      </c>
      <c r="J136" s="6" t="s">
        <v>113</v>
      </c>
      <c r="K136" s="6" t="s">
        <v>28</v>
      </c>
      <c r="L136" s="6" t="s">
        <v>40</v>
      </c>
      <c r="M136" s="6" t="s">
        <v>30</v>
      </c>
      <c r="N136" s="6">
        <v>17</v>
      </c>
      <c r="O136" s="6">
        <v>45</v>
      </c>
      <c r="P136" s="6">
        <v>715</v>
      </c>
      <c r="Q136" s="6" t="s">
        <v>31</v>
      </c>
      <c r="R136" s="6" t="s">
        <v>48</v>
      </c>
      <c r="S136" s="6" t="s">
        <v>32</v>
      </c>
      <c r="T136" s="6">
        <v>4.5</v>
      </c>
    </row>
    <row r="137" spans="1:20">
      <c r="A137" s="6" t="s">
        <v>374</v>
      </c>
      <c r="B137" s="3">
        <v>45791</v>
      </c>
      <c r="C137" s="6" t="s">
        <v>375</v>
      </c>
      <c r="D137" s="6">
        <v>19</v>
      </c>
      <c r="E137" s="6" t="s">
        <v>22</v>
      </c>
      <c r="F137" s="6" t="s">
        <v>53</v>
      </c>
      <c r="G137" s="6" t="s">
        <v>54</v>
      </c>
      <c r="H137" s="6" t="s">
        <v>92</v>
      </c>
      <c r="I137" s="6" t="s">
        <v>126</v>
      </c>
      <c r="J137" s="6" t="s">
        <v>27</v>
      </c>
      <c r="K137" s="6" t="s">
        <v>28</v>
      </c>
      <c r="L137" s="6" t="s">
        <v>29</v>
      </c>
      <c r="M137" s="6" t="s">
        <v>30</v>
      </c>
      <c r="N137" s="6">
        <v>16</v>
      </c>
      <c r="O137" s="6">
        <v>35</v>
      </c>
      <c r="P137" s="6">
        <v>590</v>
      </c>
      <c r="Q137" s="6" t="s">
        <v>48</v>
      </c>
      <c r="R137" s="6" t="s">
        <v>48</v>
      </c>
      <c r="S137" s="6" t="s">
        <v>32</v>
      </c>
      <c r="T137" s="6">
        <v>4.2</v>
      </c>
    </row>
    <row r="138" spans="1:20">
      <c r="A138" s="6" t="s">
        <v>376</v>
      </c>
      <c r="B138" s="3">
        <v>45803</v>
      </c>
      <c r="C138" s="6" t="s">
        <v>377</v>
      </c>
      <c r="D138" s="6">
        <v>37</v>
      </c>
      <c r="E138" s="6" t="s">
        <v>52</v>
      </c>
      <c r="F138" s="6" t="s">
        <v>35</v>
      </c>
      <c r="G138" s="6" t="s">
        <v>105</v>
      </c>
      <c r="H138" s="6" t="s">
        <v>116</v>
      </c>
      <c r="I138" s="6" t="s">
        <v>378</v>
      </c>
      <c r="J138" s="6" t="s">
        <v>94</v>
      </c>
      <c r="K138" s="6" t="s">
        <v>47</v>
      </c>
      <c r="L138" s="6" t="s">
        <v>40</v>
      </c>
      <c r="M138" s="6" t="s">
        <v>30</v>
      </c>
      <c r="N138" s="6">
        <v>20</v>
      </c>
      <c r="O138" s="6">
        <v>9</v>
      </c>
      <c r="P138" s="6">
        <v>529</v>
      </c>
      <c r="Q138" s="6" t="s">
        <v>31</v>
      </c>
      <c r="R138" s="6" t="s">
        <v>31</v>
      </c>
      <c r="S138" s="6" t="s">
        <v>32</v>
      </c>
      <c r="T138" s="6">
        <v>3.3</v>
      </c>
    </row>
    <row r="139" spans="1:20">
      <c r="A139" s="6" t="s">
        <v>379</v>
      </c>
      <c r="B139" s="3">
        <v>45791</v>
      </c>
      <c r="C139" s="6" t="s">
        <v>43</v>
      </c>
      <c r="D139" s="6">
        <v>26</v>
      </c>
      <c r="E139" s="6" t="s">
        <v>52</v>
      </c>
      <c r="F139" s="6" t="s">
        <v>23</v>
      </c>
      <c r="G139" s="6" t="s">
        <v>44</v>
      </c>
      <c r="H139" s="6" t="s">
        <v>134</v>
      </c>
      <c r="I139" s="6" t="s">
        <v>83</v>
      </c>
      <c r="J139" s="6" t="s">
        <v>94</v>
      </c>
      <c r="K139" s="6" t="s">
        <v>47</v>
      </c>
      <c r="L139" s="6" t="s">
        <v>40</v>
      </c>
      <c r="M139" s="6" t="s">
        <v>30</v>
      </c>
      <c r="N139" s="6">
        <v>5</v>
      </c>
      <c r="O139" s="6">
        <v>25</v>
      </c>
      <c r="P139" s="6">
        <v>1080</v>
      </c>
      <c r="Q139" s="6" t="s">
        <v>48</v>
      </c>
      <c r="R139" s="6" t="s">
        <v>48</v>
      </c>
      <c r="S139" s="6" t="s">
        <v>41</v>
      </c>
      <c r="T139" s="6">
        <v>4.7</v>
      </c>
    </row>
    <row r="140" spans="1:20">
      <c r="A140" s="6" t="s">
        <v>380</v>
      </c>
      <c r="B140" s="3">
        <v>45784</v>
      </c>
      <c r="C140" s="6" t="s">
        <v>381</v>
      </c>
      <c r="D140" s="6">
        <v>36</v>
      </c>
      <c r="E140" s="6" t="s">
        <v>52</v>
      </c>
      <c r="F140" s="6" t="s">
        <v>77</v>
      </c>
      <c r="G140" s="6" t="s">
        <v>138</v>
      </c>
      <c r="H140" s="6" t="s">
        <v>101</v>
      </c>
      <c r="I140" s="6" t="s">
        <v>83</v>
      </c>
      <c r="J140" s="6" t="s">
        <v>94</v>
      </c>
      <c r="K140" s="6" t="s">
        <v>88</v>
      </c>
      <c r="L140" s="6" t="s">
        <v>68</v>
      </c>
      <c r="M140" s="6" t="s">
        <v>30</v>
      </c>
      <c r="N140" s="6">
        <v>23</v>
      </c>
      <c r="O140" s="6">
        <v>15</v>
      </c>
      <c r="P140" s="6">
        <v>1067</v>
      </c>
      <c r="Q140" s="6" t="s">
        <v>48</v>
      </c>
      <c r="R140" s="6" t="s">
        <v>31</v>
      </c>
      <c r="S140" s="6" t="s">
        <v>32</v>
      </c>
      <c r="T140" s="6">
        <v>3.8</v>
      </c>
    </row>
    <row r="141" spans="1:20">
      <c r="A141" s="6" t="s">
        <v>382</v>
      </c>
      <c r="B141" s="3">
        <v>45792</v>
      </c>
      <c r="C141" s="6" t="s">
        <v>383</v>
      </c>
      <c r="D141" s="6">
        <v>70</v>
      </c>
      <c r="E141" s="6" t="s">
        <v>52</v>
      </c>
      <c r="F141" s="6" t="s">
        <v>77</v>
      </c>
      <c r="G141" s="6" t="s">
        <v>78</v>
      </c>
      <c r="H141" s="6" t="s">
        <v>147</v>
      </c>
      <c r="I141" s="6" t="s">
        <v>97</v>
      </c>
      <c r="J141" s="6" t="s">
        <v>39</v>
      </c>
      <c r="K141" s="6" t="s">
        <v>47</v>
      </c>
      <c r="L141" s="6" t="s">
        <v>68</v>
      </c>
      <c r="M141" s="6" t="s">
        <v>30</v>
      </c>
      <c r="N141" s="6">
        <v>20</v>
      </c>
      <c r="O141" s="6">
        <v>8</v>
      </c>
      <c r="P141" s="6">
        <v>1020</v>
      </c>
      <c r="Q141" s="6" t="s">
        <v>48</v>
      </c>
      <c r="R141" s="6" t="s">
        <v>48</v>
      </c>
      <c r="S141" s="6" t="s">
        <v>49</v>
      </c>
      <c r="T141" s="6">
        <v>3.5</v>
      </c>
    </row>
    <row r="142" spans="1:20">
      <c r="A142" s="6" t="s">
        <v>384</v>
      </c>
      <c r="B142" s="3">
        <v>45778</v>
      </c>
      <c r="C142" s="6" t="s">
        <v>241</v>
      </c>
      <c r="D142" s="6">
        <v>67</v>
      </c>
      <c r="E142" s="6" t="s">
        <v>22</v>
      </c>
      <c r="F142" s="6" t="s">
        <v>35</v>
      </c>
      <c r="G142" s="6" t="s">
        <v>36</v>
      </c>
      <c r="H142" s="6" t="s">
        <v>37</v>
      </c>
      <c r="I142" s="6" t="s">
        <v>83</v>
      </c>
      <c r="J142" s="6" t="s">
        <v>113</v>
      </c>
      <c r="K142" s="6" t="s">
        <v>47</v>
      </c>
      <c r="L142" s="6" t="s">
        <v>29</v>
      </c>
      <c r="M142" s="6" t="s">
        <v>30</v>
      </c>
      <c r="N142" s="6">
        <v>16</v>
      </c>
      <c r="O142" s="6">
        <v>10</v>
      </c>
      <c r="P142" s="6">
        <v>490</v>
      </c>
      <c r="Q142" s="6" t="s">
        <v>31</v>
      </c>
      <c r="R142" s="6" t="s">
        <v>48</v>
      </c>
      <c r="S142" s="6" t="s">
        <v>49</v>
      </c>
      <c r="T142" s="6">
        <v>4.0999999999999996</v>
      </c>
    </row>
    <row r="143" spans="1:20">
      <c r="A143" s="6" t="s">
        <v>385</v>
      </c>
      <c r="B143" s="3">
        <v>45781</v>
      </c>
      <c r="C143" s="6" t="s">
        <v>241</v>
      </c>
      <c r="D143" s="6">
        <v>40</v>
      </c>
      <c r="E143" s="6" t="s">
        <v>22</v>
      </c>
      <c r="F143" s="6" t="s">
        <v>23</v>
      </c>
      <c r="G143" s="6" t="s">
        <v>44</v>
      </c>
      <c r="H143" s="6" t="s">
        <v>45</v>
      </c>
      <c r="I143" s="6" t="s">
        <v>299</v>
      </c>
      <c r="J143" s="6" t="s">
        <v>94</v>
      </c>
      <c r="K143" s="6" t="s">
        <v>88</v>
      </c>
      <c r="L143" s="6" t="s">
        <v>68</v>
      </c>
      <c r="M143" s="6" t="s">
        <v>74</v>
      </c>
      <c r="N143" s="6">
        <v>20</v>
      </c>
      <c r="O143" s="6">
        <v>0</v>
      </c>
      <c r="P143" s="6">
        <v>0</v>
      </c>
      <c r="Q143" s="6" t="s">
        <v>31</v>
      </c>
      <c r="R143" s="6" t="s">
        <v>31</v>
      </c>
      <c r="S143" s="6" t="s">
        <v>41</v>
      </c>
      <c r="T143" s="6">
        <v>2.73</v>
      </c>
    </row>
    <row r="144" spans="1:20">
      <c r="A144" s="6" t="s">
        <v>386</v>
      </c>
      <c r="B144" s="3">
        <v>45799</v>
      </c>
      <c r="C144" s="6" t="s">
        <v>112</v>
      </c>
      <c r="D144" s="6">
        <v>46</v>
      </c>
      <c r="E144" s="6" t="s">
        <v>52</v>
      </c>
      <c r="F144" s="6" t="s">
        <v>77</v>
      </c>
      <c r="G144" s="6" t="s">
        <v>138</v>
      </c>
      <c r="H144" s="6" t="s">
        <v>101</v>
      </c>
      <c r="I144" s="6" t="s">
        <v>253</v>
      </c>
      <c r="J144" s="6" t="s">
        <v>60</v>
      </c>
      <c r="K144" s="6" t="s">
        <v>88</v>
      </c>
      <c r="L144" s="6" t="s">
        <v>29</v>
      </c>
      <c r="M144" s="6" t="s">
        <v>30</v>
      </c>
      <c r="N144" s="6">
        <v>15</v>
      </c>
      <c r="O144" s="6">
        <v>4</v>
      </c>
      <c r="P144" s="6">
        <v>1014</v>
      </c>
      <c r="Q144" s="6" t="s">
        <v>31</v>
      </c>
      <c r="R144" s="6" t="s">
        <v>31</v>
      </c>
      <c r="S144" s="6" t="s">
        <v>41</v>
      </c>
      <c r="T144" s="6">
        <v>3.1</v>
      </c>
    </row>
    <row r="145" spans="1:20">
      <c r="A145" s="6" t="s">
        <v>387</v>
      </c>
      <c r="B145" s="3">
        <v>45806</v>
      </c>
      <c r="C145" s="6" t="s">
        <v>388</v>
      </c>
      <c r="D145" s="6">
        <v>69</v>
      </c>
      <c r="E145" s="6" t="s">
        <v>52</v>
      </c>
      <c r="F145" s="6" t="s">
        <v>77</v>
      </c>
      <c r="G145" s="6" t="s">
        <v>78</v>
      </c>
      <c r="H145" s="6" t="s">
        <v>79</v>
      </c>
      <c r="I145" s="6" t="s">
        <v>156</v>
      </c>
      <c r="J145" s="6" t="s">
        <v>67</v>
      </c>
      <c r="K145" s="6" t="s">
        <v>47</v>
      </c>
      <c r="L145" s="6" t="s">
        <v>29</v>
      </c>
      <c r="M145" s="6" t="s">
        <v>30</v>
      </c>
      <c r="N145" s="6">
        <v>25</v>
      </c>
      <c r="O145" s="6">
        <v>11</v>
      </c>
      <c r="P145" s="6">
        <v>781</v>
      </c>
      <c r="Q145" s="6" t="s">
        <v>48</v>
      </c>
      <c r="R145" s="6" t="s">
        <v>48</v>
      </c>
      <c r="S145" s="6" t="s">
        <v>41</v>
      </c>
      <c r="T145" s="6">
        <v>4.3</v>
      </c>
    </row>
    <row r="146" spans="1:20">
      <c r="A146" s="6" t="s">
        <v>389</v>
      </c>
      <c r="B146" s="3">
        <v>45794</v>
      </c>
      <c r="C146" s="6" t="s">
        <v>298</v>
      </c>
      <c r="D146" s="6">
        <v>54</v>
      </c>
      <c r="E146" s="6" t="s">
        <v>22</v>
      </c>
      <c r="F146" s="6" t="s">
        <v>77</v>
      </c>
      <c r="G146" s="6" t="s">
        <v>138</v>
      </c>
      <c r="H146" s="6" t="s">
        <v>147</v>
      </c>
      <c r="I146" s="6" t="s">
        <v>144</v>
      </c>
      <c r="J146" s="6" t="s">
        <v>113</v>
      </c>
      <c r="K146" s="6" t="s">
        <v>88</v>
      </c>
      <c r="L146" s="6" t="s">
        <v>29</v>
      </c>
      <c r="M146" s="6" t="s">
        <v>30</v>
      </c>
      <c r="N146" s="6">
        <v>22</v>
      </c>
      <c r="O146" s="6">
        <v>11</v>
      </c>
      <c r="P146" s="6">
        <v>1149</v>
      </c>
      <c r="Q146" s="6" t="s">
        <v>31</v>
      </c>
      <c r="R146" s="6" t="s">
        <v>31</v>
      </c>
      <c r="S146" s="6" t="s">
        <v>49</v>
      </c>
      <c r="T146" s="6">
        <v>3.7</v>
      </c>
    </row>
    <row r="147" spans="1:20">
      <c r="A147" s="6" t="s">
        <v>390</v>
      </c>
      <c r="B147" s="3">
        <v>45781</v>
      </c>
      <c r="C147" s="6" t="s">
        <v>188</v>
      </c>
      <c r="D147" s="6">
        <v>57</v>
      </c>
      <c r="E147" s="6" t="s">
        <v>22</v>
      </c>
      <c r="F147" s="6" t="s">
        <v>53</v>
      </c>
      <c r="G147" s="6" t="s">
        <v>91</v>
      </c>
      <c r="H147" s="6" t="s">
        <v>92</v>
      </c>
      <c r="I147" s="6" t="s">
        <v>391</v>
      </c>
      <c r="J147" s="6" t="s">
        <v>113</v>
      </c>
      <c r="K147" s="6" t="s">
        <v>47</v>
      </c>
      <c r="L147" s="6" t="s">
        <v>29</v>
      </c>
      <c r="M147" s="6" t="s">
        <v>61</v>
      </c>
      <c r="N147" s="6">
        <v>9</v>
      </c>
      <c r="O147" s="6">
        <v>0</v>
      </c>
      <c r="P147" s="6">
        <v>0</v>
      </c>
      <c r="Q147" s="6" t="s">
        <v>31</v>
      </c>
      <c r="R147" s="6" t="s">
        <v>31</v>
      </c>
      <c r="S147" s="6" t="s">
        <v>41</v>
      </c>
      <c r="T147" s="6">
        <v>2.73</v>
      </c>
    </row>
    <row r="148" spans="1:20">
      <c r="A148" s="6" t="s">
        <v>392</v>
      </c>
      <c r="B148" s="3">
        <v>45788</v>
      </c>
      <c r="C148" s="6" t="s">
        <v>393</v>
      </c>
      <c r="D148" s="6">
        <v>29</v>
      </c>
      <c r="E148" s="6" t="s">
        <v>52</v>
      </c>
      <c r="F148" s="6" t="s">
        <v>77</v>
      </c>
      <c r="G148" s="6" t="s">
        <v>138</v>
      </c>
      <c r="H148" s="6" t="s">
        <v>147</v>
      </c>
      <c r="I148" s="6" t="s">
        <v>394</v>
      </c>
      <c r="J148" s="6" t="s">
        <v>67</v>
      </c>
      <c r="K148" s="6" t="s">
        <v>47</v>
      </c>
      <c r="L148" s="6" t="s">
        <v>68</v>
      </c>
      <c r="M148" s="6" t="s">
        <v>30</v>
      </c>
      <c r="N148" s="6">
        <v>25</v>
      </c>
      <c r="O148" s="6">
        <v>34</v>
      </c>
      <c r="P148" s="6">
        <v>754</v>
      </c>
      <c r="Q148" s="6" t="s">
        <v>48</v>
      </c>
      <c r="R148" s="6" t="s">
        <v>31</v>
      </c>
      <c r="S148" s="6" t="s">
        <v>41</v>
      </c>
      <c r="T148" s="6">
        <v>4.0999999999999996</v>
      </c>
    </row>
    <row r="149" spans="1:20">
      <c r="A149" s="6" t="s">
        <v>395</v>
      </c>
      <c r="B149" s="3">
        <v>45796</v>
      </c>
      <c r="C149" s="6" t="s">
        <v>281</v>
      </c>
      <c r="D149" s="6">
        <v>61</v>
      </c>
      <c r="E149" s="6" t="s">
        <v>52</v>
      </c>
      <c r="F149" s="6" t="s">
        <v>35</v>
      </c>
      <c r="G149" s="6" t="s">
        <v>36</v>
      </c>
      <c r="H149" s="6" t="s">
        <v>65</v>
      </c>
      <c r="I149" s="6" t="s">
        <v>276</v>
      </c>
      <c r="J149" s="6" t="s">
        <v>60</v>
      </c>
      <c r="K149" s="6" t="s">
        <v>28</v>
      </c>
      <c r="L149" s="6" t="s">
        <v>68</v>
      </c>
      <c r="M149" s="6" t="s">
        <v>61</v>
      </c>
      <c r="N149" s="6">
        <v>18</v>
      </c>
      <c r="O149" s="6">
        <v>0</v>
      </c>
      <c r="P149" s="6">
        <v>0</v>
      </c>
      <c r="Q149" s="6" t="s">
        <v>48</v>
      </c>
      <c r="R149" s="6" t="s">
        <v>31</v>
      </c>
      <c r="S149" s="6" t="s">
        <v>32</v>
      </c>
      <c r="T149" s="6">
        <v>2.73</v>
      </c>
    </row>
    <row r="150" spans="1:20">
      <c r="A150" s="6" t="s">
        <v>396</v>
      </c>
      <c r="B150" s="3">
        <v>45802</v>
      </c>
      <c r="C150" s="6" t="s">
        <v>397</v>
      </c>
      <c r="D150" s="6">
        <v>54</v>
      </c>
      <c r="E150" s="6" t="s">
        <v>52</v>
      </c>
      <c r="F150" s="6" t="s">
        <v>23</v>
      </c>
      <c r="G150" s="6" t="s">
        <v>24</v>
      </c>
      <c r="H150" s="6" t="s">
        <v>134</v>
      </c>
      <c r="I150" s="6" t="s">
        <v>247</v>
      </c>
      <c r="J150" s="6" t="s">
        <v>39</v>
      </c>
      <c r="K150" s="6" t="s">
        <v>88</v>
      </c>
      <c r="L150" s="6" t="s">
        <v>29</v>
      </c>
      <c r="M150" s="6" t="s">
        <v>30</v>
      </c>
      <c r="N150" s="6">
        <v>22</v>
      </c>
      <c r="O150" s="6">
        <v>32</v>
      </c>
      <c r="P150" s="6">
        <v>631</v>
      </c>
      <c r="Q150" s="6" t="s">
        <v>48</v>
      </c>
      <c r="R150" s="6" t="s">
        <v>31</v>
      </c>
      <c r="S150" s="6" t="s">
        <v>41</v>
      </c>
      <c r="T150" s="6">
        <v>4.0999999999999996</v>
      </c>
    </row>
    <row r="151" spans="1:20">
      <c r="A151" s="6" t="s">
        <v>398</v>
      </c>
      <c r="B151" s="3">
        <v>45784</v>
      </c>
      <c r="C151" s="6" t="s">
        <v>181</v>
      </c>
      <c r="D151" s="6">
        <v>46</v>
      </c>
      <c r="E151" s="6" t="s">
        <v>52</v>
      </c>
      <c r="F151" s="6" t="s">
        <v>35</v>
      </c>
      <c r="G151" s="6" t="s">
        <v>36</v>
      </c>
      <c r="H151" s="6" t="s">
        <v>65</v>
      </c>
      <c r="I151" s="6" t="s">
        <v>226</v>
      </c>
      <c r="J151" s="6" t="s">
        <v>113</v>
      </c>
      <c r="K151" s="6" t="s">
        <v>28</v>
      </c>
      <c r="L151" s="6" t="s">
        <v>40</v>
      </c>
      <c r="M151" s="6" t="s">
        <v>74</v>
      </c>
      <c r="N151" s="6">
        <v>16</v>
      </c>
      <c r="O151" s="6">
        <v>0</v>
      </c>
      <c r="P151" s="6">
        <v>0</v>
      </c>
      <c r="Q151" s="6" t="s">
        <v>48</v>
      </c>
      <c r="R151" s="6" t="s">
        <v>48</v>
      </c>
      <c r="S151" s="6" t="s">
        <v>49</v>
      </c>
      <c r="T151" s="6">
        <v>2.73</v>
      </c>
    </row>
    <row r="152" spans="1:20">
      <c r="A152" s="6" t="s">
        <v>399</v>
      </c>
      <c r="B152" s="3">
        <v>45808</v>
      </c>
      <c r="C152" s="6" t="s">
        <v>130</v>
      </c>
      <c r="D152" s="6">
        <v>54</v>
      </c>
      <c r="E152" s="6" t="s">
        <v>52</v>
      </c>
      <c r="F152" s="6" t="s">
        <v>53</v>
      </c>
      <c r="G152" s="6" t="s">
        <v>91</v>
      </c>
      <c r="H152" s="6" t="s">
        <v>125</v>
      </c>
      <c r="I152" s="6" t="s">
        <v>302</v>
      </c>
      <c r="J152" s="6" t="s">
        <v>113</v>
      </c>
      <c r="K152" s="6" t="s">
        <v>28</v>
      </c>
      <c r="L152" s="6" t="s">
        <v>40</v>
      </c>
      <c r="M152" s="6" t="s">
        <v>30</v>
      </c>
      <c r="N152" s="6">
        <v>22</v>
      </c>
      <c r="O152" s="6">
        <v>17</v>
      </c>
      <c r="P152" s="6">
        <v>744</v>
      </c>
      <c r="Q152" s="6" t="s">
        <v>31</v>
      </c>
      <c r="R152" s="6" t="s">
        <v>48</v>
      </c>
      <c r="S152" s="6" t="s">
        <v>32</v>
      </c>
      <c r="T152" s="6">
        <v>3.6</v>
      </c>
    </row>
    <row r="153" spans="1:20">
      <c r="A153" s="6" t="s">
        <v>400</v>
      </c>
      <c r="B153" s="3">
        <v>45798</v>
      </c>
      <c r="C153" s="6" t="s">
        <v>401</v>
      </c>
      <c r="D153" s="6">
        <v>27</v>
      </c>
      <c r="E153" s="6" t="s">
        <v>52</v>
      </c>
      <c r="F153" s="6" t="s">
        <v>23</v>
      </c>
      <c r="G153" s="6" t="s">
        <v>24</v>
      </c>
      <c r="H153" s="6" t="s">
        <v>134</v>
      </c>
      <c r="I153" s="6" t="s">
        <v>279</v>
      </c>
      <c r="J153" s="6" t="s">
        <v>39</v>
      </c>
      <c r="K153" s="6" t="s">
        <v>88</v>
      </c>
      <c r="L153" s="6" t="s">
        <v>40</v>
      </c>
      <c r="M153" s="6" t="s">
        <v>61</v>
      </c>
      <c r="N153" s="6">
        <v>12</v>
      </c>
      <c r="O153" s="6">
        <v>0</v>
      </c>
      <c r="P153" s="6">
        <v>0</v>
      </c>
      <c r="Q153" s="6" t="s">
        <v>31</v>
      </c>
      <c r="R153" s="6" t="s">
        <v>31</v>
      </c>
      <c r="S153" s="6" t="s">
        <v>32</v>
      </c>
      <c r="T153" s="6">
        <v>2.73</v>
      </c>
    </row>
    <row r="154" spans="1:20">
      <c r="A154" s="6" t="s">
        <v>402</v>
      </c>
      <c r="B154" s="3">
        <v>45778</v>
      </c>
      <c r="C154" s="6" t="s">
        <v>268</v>
      </c>
      <c r="D154" s="6">
        <v>43</v>
      </c>
      <c r="E154" s="6" t="s">
        <v>52</v>
      </c>
      <c r="F154" s="6" t="s">
        <v>53</v>
      </c>
      <c r="G154" s="6" t="s">
        <v>91</v>
      </c>
      <c r="H154" s="6" t="s">
        <v>92</v>
      </c>
      <c r="I154" s="6" t="s">
        <v>276</v>
      </c>
      <c r="J154" s="6" t="s">
        <v>113</v>
      </c>
      <c r="K154" s="6" t="s">
        <v>88</v>
      </c>
      <c r="L154" s="6" t="s">
        <v>29</v>
      </c>
      <c r="M154" s="6" t="s">
        <v>61</v>
      </c>
      <c r="N154" s="6">
        <v>16</v>
      </c>
      <c r="O154" s="6">
        <v>0</v>
      </c>
      <c r="P154" s="6">
        <v>0</v>
      </c>
      <c r="Q154" s="6" t="s">
        <v>31</v>
      </c>
      <c r="R154" s="6" t="s">
        <v>31</v>
      </c>
      <c r="S154" s="6" t="s">
        <v>49</v>
      </c>
      <c r="T154" s="6">
        <v>2.73</v>
      </c>
    </row>
    <row r="155" spans="1:20">
      <c r="A155" s="6" t="s">
        <v>403</v>
      </c>
      <c r="B155" s="3">
        <v>45803</v>
      </c>
      <c r="C155" s="6" t="s">
        <v>404</v>
      </c>
      <c r="D155" s="6">
        <v>35</v>
      </c>
      <c r="E155" s="6" t="s">
        <v>52</v>
      </c>
      <c r="F155" s="6" t="s">
        <v>23</v>
      </c>
      <c r="G155" s="6" t="s">
        <v>71</v>
      </c>
      <c r="H155" s="6" t="s">
        <v>134</v>
      </c>
      <c r="I155" s="6" t="s">
        <v>165</v>
      </c>
      <c r="J155" s="6" t="s">
        <v>60</v>
      </c>
      <c r="K155" s="6" t="s">
        <v>28</v>
      </c>
      <c r="L155" s="6" t="s">
        <v>40</v>
      </c>
      <c r="M155" s="6" t="s">
        <v>107</v>
      </c>
      <c r="N155" s="6">
        <v>14</v>
      </c>
      <c r="O155" s="6">
        <v>0</v>
      </c>
      <c r="P155" s="6">
        <v>0</v>
      </c>
      <c r="Q155" s="6" t="s">
        <v>31</v>
      </c>
      <c r="R155" s="6" t="s">
        <v>31</v>
      </c>
      <c r="S155" s="6" t="s">
        <v>41</v>
      </c>
      <c r="T155" s="6">
        <v>2.73</v>
      </c>
    </row>
    <row r="156" spans="1:20">
      <c r="A156" s="6" t="s">
        <v>405</v>
      </c>
      <c r="B156" s="3">
        <v>45780</v>
      </c>
      <c r="C156" s="6" t="s">
        <v>96</v>
      </c>
      <c r="D156" s="6">
        <v>46</v>
      </c>
      <c r="E156" s="6" t="s">
        <v>52</v>
      </c>
      <c r="F156" s="6" t="s">
        <v>53</v>
      </c>
      <c r="G156" s="6" t="s">
        <v>91</v>
      </c>
      <c r="H156" s="6" t="s">
        <v>55</v>
      </c>
      <c r="I156" s="6" t="s">
        <v>406</v>
      </c>
      <c r="J156" s="6" t="s">
        <v>39</v>
      </c>
      <c r="K156" s="6" t="s">
        <v>28</v>
      </c>
      <c r="L156" s="6" t="s">
        <v>40</v>
      </c>
      <c r="M156" s="6" t="s">
        <v>30</v>
      </c>
      <c r="N156" s="6">
        <v>5</v>
      </c>
      <c r="O156" s="6">
        <v>27</v>
      </c>
      <c r="P156" s="6">
        <v>814</v>
      </c>
      <c r="Q156" s="6" t="s">
        <v>31</v>
      </c>
      <c r="R156" s="6" t="s">
        <v>48</v>
      </c>
      <c r="S156" s="6" t="s">
        <v>49</v>
      </c>
      <c r="T156" s="6">
        <v>5</v>
      </c>
    </row>
    <row r="157" spans="1:20">
      <c r="A157" s="6" t="s">
        <v>407</v>
      </c>
      <c r="B157" s="3">
        <v>45778</v>
      </c>
      <c r="C157" s="6" t="s">
        <v>141</v>
      </c>
      <c r="D157" s="6">
        <v>45</v>
      </c>
      <c r="E157" s="6" t="s">
        <v>22</v>
      </c>
      <c r="F157" s="6" t="s">
        <v>53</v>
      </c>
      <c r="G157" s="6" t="s">
        <v>54</v>
      </c>
      <c r="H157" s="6" t="s">
        <v>55</v>
      </c>
      <c r="I157" s="6" t="s">
        <v>408</v>
      </c>
      <c r="J157" s="6" t="s">
        <v>60</v>
      </c>
      <c r="K157" s="6" t="s">
        <v>47</v>
      </c>
      <c r="L157" s="6" t="s">
        <v>40</v>
      </c>
      <c r="M157" s="6" t="s">
        <v>30</v>
      </c>
      <c r="N157" s="6">
        <v>8</v>
      </c>
      <c r="O157" s="6">
        <v>0</v>
      </c>
      <c r="P157" s="6">
        <v>837</v>
      </c>
      <c r="Q157" s="6" t="s">
        <v>48</v>
      </c>
      <c r="R157" s="6" t="s">
        <v>48</v>
      </c>
      <c r="S157" s="6" t="s">
        <v>32</v>
      </c>
      <c r="T157" s="6">
        <v>4</v>
      </c>
    </row>
    <row r="158" spans="1:20">
      <c r="A158" s="6" t="s">
        <v>409</v>
      </c>
      <c r="B158" s="3">
        <v>45780</v>
      </c>
      <c r="C158" s="6" t="s">
        <v>393</v>
      </c>
      <c r="D158" s="6">
        <v>23</v>
      </c>
      <c r="E158" s="6" t="s">
        <v>22</v>
      </c>
      <c r="F158" s="6" t="s">
        <v>23</v>
      </c>
      <c r="G158" s="6" t="s">
        <v>71</v>
      </c>
      <c r="H158" s="6" t="s">
        <v>134</v>
      </c>
      <c r="I158" s="6" t="s">
        <v>97</v>
      </c>
      <c r="J158" s="6" t="s">
        <v>73</v>
      </c>
      <c r="K158" s="6" t="s">
        <v>88</v>
      </c>
      <c r="L158" s="6" t="s">
        <v>40</v>
      </c>
      <c r="M158" s="6" t="s">
        <v>30</v>
      </c>
      <c r="N158" s="6">
        <v>8</v>
      </c>
      <c r="O158" s="6">
        <v>20</v>
      </c>
      <c r="P158" s="6">
        <v>1152</v>
      </c>
      <c r="Q158" s="6" t="s">
        <v>48</v>
      </c>
      <c r="R158" s="6" t="s">
        <v>31</v>
      </c>
      <c r="S158" s="6" t="s">
        <v>32</v>
      </c>
      <c r="T158" s="6">
        <v>4.8</v>
      </c>
    </row>
    <row r="159" spans="1:20">
      <c r="A159" s="6" t="s">
        <v>410</v>
      </c>
      <c r="B159" s="3">
        <v>45788</v>
      </c>
      <c r="C159" s="6" t="s">
        <v>250</v>
      </c>
      <c r="D159" s="6">
        <v>44</v>
      </c>
      <c r="E159" s="6" t="s">
        <v>52</v>
      </c>
      <c r="F159" s="6" t="s">
        <v>23</v>
      </c>
      <c r="G159" s="6" t="s">
        <v>71</v>
      </c>
      <c r="H159" s="6" t="s">
        <v>25</v>
      </c>
      <c r="I159" s="6" t="s">
        <v>153</v>
      </c>
      <c r="J159" s="6" t="s">
        <v>67</v>
      </c>
      <c r="K159" s="6" t="s">
        <v>88</v>
      </c>
      <c r="L159" s="6" t="s">
        <v>68</v>
      </c>
      <c r="M159" s="6" t="s">
        <v>30</v>
      </c>
      <c r="N159" s="6">
        <v>11</v>
      </c>
      <c r="O159" s="6">
        <v>5</v>
      </c>
      <c r="P159" s="6">
        <v>605</v>
      </c>
      <c r="Q159" s="6" t="s">
        <v>31</v>
      </c>
      <c r="R159" s="6" t="s">
        <v>31</v>
      </c>
      <c r="S159" s="6" t="s">
        <v>49</v>
      </c>
      <c r="T159" s="6">
        <v>3.3</v>
      </c>
    </row>
    <row r="160" spans="1:20">
      <c r="A160" s="6" t="s">
        <v>411</v>
      </c>
      <c r="B160" s="3">
        <v>45798</v>
      </c>
      <c r="C160" s="6" t="s">
        <v>412</v>
      </c>
      <c r="D160" s="6">
        <v>72</v>
      </c>
      <c r="E160" s="6" t="s">
        <v>52</v>
      </c>
      <c r="F160" s="6" t="s">
        <v>77</v>
      </c>
      <c r="G160" s="6" t="s">
        <v>100</v>
      </c>
      <c r="H160" s="6" t="s">
        <v>101</v>
      </c>
      <c r="I160" s="6" t="s">
        <v>413</v>
      </c>
      <c r="J160" s="6" t="s">
        <v>73</v>
      </c>
      <c r="K160" s="6" t="s">
        <v>28</v>
      </c>
      <c r="L160" s="6" t="s">
        <v>40</v>
      </c>
      <c r="M160" s="6" t="s">
        <v>74</v>
      </c>
      <c r="N160" s="6">
        <v>11</v>
      </c>
      <c r="O160" s="6">
        <v>0</v>
      </c>
      <c r="P160" s="6">
        <v>0</v>
      </c>
      <c r="Q160" s="6" t="s">
        <v>48</v>
      </c>
      <c r="R160" s="6" t="s">
        <v>48</v>
      </c>
      <c r="S160" s="6" t="s">
        <v>49</v>
      </c>
      <c r="T160" s="6">
        <v>2.73</v>
      </c>
    </row>
    <row r="161" spans="1:20">
      <c r="A161" s="6" t="s">
        <v>414</v>
      </c>
      <c r="B161" s="3">
        <v>45796</v>
      </c>
      <c r="C161" s="6" t="s">
        <v>415</v>
      </c>
      <c r="D161" s="6">
        <v>38</v>
      </c>
      <c r="E161" s="6" t="s">
        <v>22</v>
      </c>
      <c r="F161" s="6" t="s">
        <v>23</v>
      </c>
      <c r="G161" s="6" t="s">
        <v>24</v>
      </c>
      <c r="H161" s="6" t="s">
        <v>134</v>
      </c>
      <c r="I161" s="6" t="s">
        <v>296</v>
      </c>
      <c r="J161" s="6" t="s">
        <v>113</v>
      </c>
      <c r="K161" s="6" t="s">
        <v>28</v>
      </c>
      <c r="L161" s="6" t="s">
        <v>29</v>
      </c>
      <c r="M161" s="6" t="s">
        <v>30</v>
      </c>
      <c r="N161" s="6">
        <v>17</v>
      </c>
      <c r="O161" s="6">
        <v>36</v>
      </c>
      <c r="P161" s="6">
        <v>1261</v>
      </c>
      <c r="Q161" s="6" t="s">
        <v>31</v>
      </c>
      <c r="R161" s="6" t="s">
        <v>31</v>
      </c>
      <c r="S161" s="6" t="s">
        <v>41</v>
      </c>
      <c r="T161" s="6">
        <v>3.7</v>
      </c>
    </row>
    <row r="162" spans="1:20">
      <c r="A162" s="6" t="s">
        <v>416</v>
      </c>
      <c r="B162" s="3">
        <v>45780</v>
      </c>
      <c r="C162" s="6" t="s">
        <v>202</v>
      </c>
      <c r="D162" s="6">
        <v>45</v>
      </c>
      <c r="E162" s="6" t="s">
        <v>52</v>
      </c>
      <c r="F162" s="6" t="s">
        <v>23</v>
      </c>
      <c r="G162" s="6" t="s">
        <v>24</v>
      </c>
      <c r="H162" s="6" t="s">
        <v>134</v>
      </c>
      <c r="I162" s="6" t="s">
        <v>406</v>
      </c>
      <c r="J162" s="6" t="s">
        <v>94</v>
      </c>
      <c r="K162" s="6" t="s">
        <v>28</v>
      </c>
      <c r="L162" s="6" t="s">
        <v>29</v>
      </c>
      <c r="M162" s="6" t="s">
        <v>30</v>
      </c>
      <c r="N162" s="6">
        <v>7</v>
      </c>
      <c r="O162" s="6">
        <v>40</v>
      </c>
      <c r="P162" s="6">
        <v>1498</v>
      </c>
      <c r="Q162" s="6" t="s">
        <v>48</v>
      </c>
      <c r="R162" s="6" t="s">
        <v>31</v>
      </c>
      <c r="S162" s="6" t="s">
        <v>49</v>
      </c>
      <c r="T162" s="6">
        <v>4.0999999999999996</v>
      </c>
    </row>
    <row r="163" spans="1:20">
      <c r="A163" s="6" t="s">
        <v>417</v>
      </c>
      <c r="B163" s="3">
        <v>45781</v>
      </c>
      <c r="C163" s="6" t="s">
        <v>158</v>
      </c>
      <c r="D163" s="6">
        <v>37</v>
      </c>
      <c r="E163" s="6" t="s">
        <v>52</v>
      </c>
      <c r="F163" s="6" t="s">
        <v>77</v>
      </c>
      <c r="G163" s="6" t="s">
        <v>100</v>
      </c>
      <c r="H163" s="6" t="s">
        <v>147</v>
      </c>
      <c r="I163" s="6" t="s">
        <v>26</v>
      </c>
      <c r="J163" s="6" t="s">
        <v>60</v>
      </c>
      <c r="K163" s="6" t="s">
        <v>88</v>
      </c>
      <c r="L163" s="6" t="s">
        <v>40</v>
      </c>
      <c r="M163" s="6" t="s">
        <v>61</v>
      </c>
      <c r="N163" s="6">
        <v>12</v>
      </c>
      <c r="O163" s="6">
        <v>0</v>
      </c>
      <c r="P163" s="6">
        <v>0</v>
      </c>
      <c r="Q163" s="6" t="s">
        <v>31</v>
      </c>
      <c r="R163" s="6" t="s">
        <v>31</v>
      </c>
      <c r="S163" s="6" t="s">
        <v>49</v>
      </c>
      <c r="T163" s="6">
        <v>2.73</v>
      </c>
    </row>
    <row r="164" spans="1:20">
      <c r="A164" s="6" t="s">
        <v>418</v>
      </c>
      <c r="B164" s="3">
        <v>45794</v>
      </c>
      <c r="C164" s="6" t="s">
        <v>419</v>
      </c>
      <c r="D164" s="6">
        <v>18</v>
      </c>
      <c r="E164" s="6" t="s">
        <v>22</v>
      </c>
      <c r="F164" s="6" t="s">
        <v>35</v>
      </c>
      <c r="G164" s="6" t="s">
        <v>36</v>
      </c>
      <c r="H164" s="6" t="s">
        <v>116</v>
      </c>
      <c r="I164" s="6" t="s">
        <v>296</v>
      </c>
      <c r="J164" s="6" t="s">
        <v>39</v>
      </c>
      <c r="K164" s="6" t="s">
        <v>88</v>
      </c>
      <c r="L164" s="6" t="s">
        <v>40</v>
      </c>
      <c r="M164" s="6" t="s">
        <v>74</v>
      </c>
      <c r="N164" s="6">
        <v>5</v>
      </c>
      <c r="O164" s="6">
        <v>0</v>
      </c>
      <c r="P164" s="6">
        <v>0</v>
      </c>
      <c r="Q164" s="6" t="s">
        <v>31</v>
      </c>
      <c r="R164" s="6" t="s">
        <v>31</v>
      </c>
      <c r="S164" s="6" t="s">
        <v>49</v>
      </c>
      <c r="T164" s="6">
        <v>2.73</v>
      </c>
    </row>
    <row r="165" spans="1:20">
      <c r="A165" s="6" t="s">
        <v>420</v>
      </c>
      <c r="B165" s="3">
        <v>45794</v>
      </c>
      <c r="C165" s="6" t="s">
        <v>183</v>
      </c>
      <c r="D165" s="6">
        <v>69</v>
      </c>
      <c r="E165" s="6" t="s">
        <v>52</v>
      </c>
      <c r="F165" s="6" t="s">
        <v>53</v>
      </c>
      <c r="G165" s="6" t="s">
        <v>58</v>
      </c>
      <c r="H165" s="6" t="s">
        <v>92</v>
      </c>
      <c r="I165" s="6" t="s">
        <v>343</v>
      </c>
      <c r="J165" s="6" t="s">
        <v>67</v>
      </c>
      <c r="K165" s="6" t="s">
        <v>47</v>
      </c>
      <c r="L165" s="6" t="s">
        <v>68</v>
      </c>
      <c r="M165" s="6" t="s">
        <v>30</v>
      </c>
      <c r="N165" s="6">
        <v>13</v>
      </c>
      <c r="O165" s="6">
        <v>33</v>
      </c>
      <c r="P165" s="6">
        <v>530</v>
      </c>
      <c r="Q165" s="6" t="s">
        <v>31</v>
      </c>
      <c r="R165" s="6" t="s">
        <v>31</v>
      </c>
      <c r="S165" s="6" t="s">
        <v>49</v>
      </c>
      <c r="T165" s="6">
        <v>3.5</v>
      </c>
    </row>
    <row r="166" spans="1:20">
      <c r="A166" s="6" t="s">
        <v>421</v>
      </c>
      <c r="B166" s="3">
        <v>45807</v>
      </c>
      <c r="C166" s="6" t="s">
        <v>393</v>
      </c>
      <c r="D166" s="6">
        <v>32</v>
      </c>
      <c r="E166" s="6" t="s">
        <v>22</v>
      </c>
      <c r="F166" s="6" t="s">
        <v>53</v>
      </c>
      <c r="G166" s="6" t="s">
        <v>58</v>
      </c>
      <c r="H166" s="6" t="s">
        <v>92</v>
      </c>
      <c r="I166" s="6" t="s">
        <v>126</v>
      </c>
      <c r="J166" s="6" t="s">
        <v>67</v>
      </c>
      <c r="K166" s="6" t="s">
        <v>88</v>
      </c>
      <c r="L166" s="6" t="s">
        <v>29</v>
      </c>
      <c r="M166" s="6" t="s">
        <v>30</v>
      </c>
      <c r="N166" s="6">
        <v>6</v>
      </c>
      <c r="O166" s="6">
        <v>0</v>
      </c>
      <c r="P166" s="6">
        <v>900</v>
      </c>
      <c r="Q166" s="6" t="s">
        <v>31</v>
      </c>
      <c r="R166" s="6" t="s">
        <v>31</v>
      </c>
      <c r="S166" s="6" t="s">
        <v>32</v>
      </c>
      <c r="T166" s="6">
        <v>3.1</v>
      </c>
    </row>
    <row r="167" spans="1:20">
      <c r="A167" s="6" t="s">
        <v>422</v>
      </c>
      <c r="B167" s="3">
        <v>45783</v>
      </c>
      <c r="C167" s="6" t="s">
        <v>320</v>
      </c>
      <c r="D167" s="6">
        <v>70</v>
      </c>
      <c r="E167" s="6" t="s">
        <v>22</v>
      </c>
      <c r="F167" s="6" t="s">
        <v>23</v>
      </c>
      <c r="G167" s="6" t="s">
        <v>71</v>
      </c>
      <c r="H167" s="6" t="s">
        <v>25</v>
      </c>
      <c r="I167" s="6" t="s">
        <v>391</v>
      </c>
      <c r="J167" s="6" t="s">
        <v>113</v>
      </c>
      <c r="K167" s="6" t="s">
        <v>28</v>
      </c>
      <c r="L167" s="6" t="s">
        <v>68</v>
      </c>
      <c r="M167" s="6" t="s">
        <v>107</v>
      </c>
      <c r="N167" s="6">
        <v>23</v>
      </c>
      <c r="O167" s="6">
        <v>0</v>
      </c>
      <c r="P167" s="6">
        <v>0</v>
      </c>
      <c r="Q167" s="6" t="s">
        <v>48</v>
      </c>
      <c r="R167" s="6" t="s">
        <v>31</v>
      </c>
      <c r="S167" s="6" t="s">
        <v>32</v>
      </c>
      <c r="T167" s="6">
        <v>2.73</v>
      </c>
    </row>
    <row r="168" spans="1:20">
      <c r="A168" s="6" t="s">
        <v>423</v>
      </c>
      <c r="B168" s="3">
        <v>45803</v>
      </c>
      <c r="C168" s="6" t="s">
        <v>424</v>
      </c>
      <c r="D168" s="6">
        <v>23</v>
      </c>
      <c r="E168" s="6" t="s">
        <v>52</v>
      </c>
      <c r="F168" s="6" t="s">
        <v>77</v>
      </c>
      <c r="G168" s="6" t="s">
        <v>78</v>
      </c>
      <c r="H168" s="6" t="s">
        <v>79</v>
      </c>
      <c r="I168" s="6" t="s">
        <v>425</v>
      </c>
      <c r="J168" s="6" t="s">
        <v>113</v>
      </c>
      <c r="K168" s="6" t="s">
        <v>28</v>
      </c>
      <c r="L168" s="6" t="s">
        <v>68</v>
      </c>
      <c r="M168" s="6" t="s">
        <v>74</v>
      </c>
      <c r="N168" s="6">
        <v>5</v>
      </c>
      <c r="O168" s="6">
        <v>0</v>
      </c>
      <c r="P168" s="6">
        <v>0</v>
      </c>
      <c r="Q168" s="6" t="s">
        <v>48</v>
      </c>
      <c r="R168" s="6" t="s">
        <v>31</v>
      </c>
      <c r="S168" s="6" t="s">
        <v>49</v>
      </c>
      <c r="T168" s="6">
        <v>2.73</v>
      </c>
    </row>
    <row r="169" spans="1:20">
      <c r="A169" s="6" t="s">
        <v>426</v>
      </c>
      <c r="B169" s="3">
        <v>45778</v>
      </c>
      <c r="C169" s="6" t="s">
        <v>427</v>
      </c>
      <c r="D169" s="6">
        <v>64</v>
      </c>
      <c r="E169" s="6" t="s">
        <v>22</v>
      </c>
      <c r="F169" s="6" t="s">
        <v>53</v>
      </c>
      <c r="G169" s="6" t="s">
        <v>91</v>
      </c>
      <c r="H169" s="6" t="s">
        <v>125</v>
      </c>
      <c r="I169" s="6" t="s">
        <v>179</v>
      </c>
      <c r="J169" s="6" t="s">
        <v>94</v>
      </c>
      <c r="K169" s="6" t="s">
        <v>88</v>
      </c>
      <c r="L169" s="6" t="s">
        <v>68</v>
      </c>
      <c r="M169" s="6" t="s">
        <v>30</v>
      </c>
      <c r="N169" s="6">
        <v>9</v>
      </c>
      <c r="O169" s="6">
        <v>0</v>
      </c>
      <c r="P169" s="6">
        <v>1239</v>
      </c>
      <c r="Q169" s="6" t="s">
        <v>31</v>
      </c>
      <c r="R169" s="6" t="s">
        <v>31</v>
      </c>
      <c r="S169" s="6" t="s">
        <v>41</v>
      </c>
      <c r="T169" s="6">
        <v>3</v>
      </c>
    </row>
    <row r="170" spans="1:20">
      <c r="A170" s="6" t="s">
        <v>428</v>
      </c>
      <c r="B170" s="3">
        <v>45801</v>
      </c>
      <c r="C170" s="6" t="s">
        <v>178</v>
      </c>
      <c r="D170" s="6">
        <v>27</v>
      </c>
      <c r="E170" s="6" t="s">
        <v>52</v>
      </c>
      <c r="F170" s="6" t="s">
        <v>35</v>
      </c>
      <c r="G170" s="6" t="s">
        <v>36</v>
      </c>
      <c r="H170" s="6" t="s">
        <v>116</v>
      </c>
      <c r="I170" s="6" t="s">
        <v>429</v>
      </c>
      <c r="J170" s="6" t="s">
        <v>27</v>
      </c>
      <c r="K170" s="6" t="s">
        <v>28</v>
      </c>
      <c r="L170" s="6" t="s">
        <v>29</v>
      </c>
      <c r="M170" s="6" t="s">
        <v>30</v>
      </c>
      <c r="N170" s="6">
        <v>7</v>
      </c>
      <c r="O170" s="6">
        <v>2</v>
      </c>
      <c r="P170" s="6">
        <v>874</v>
      </c>
      <c r="Q170" s="6" t="s">
        <v>48</v>
      </c>
      <c r="R170" s="6" t="s">
        <v>48</v>
      </c>
      <c r="S170" s="6" t="s">
        <v>41</v>
      </c>
      <c r="T170" s="6">
        <v>4.8</v>
      </c>
    </row>
    <row r="171" spans="1:20">
      <c r="A171" s="6" t="s">
        <v>430</v>
      </c>
      <c r="B171" s="3">
        <v>45785</v>
      </c>
      <c r="C171" s="6" t="s">
        <v>339</v>
      </c>
      <c r="D171" s="6">
        <v>33</v>
      </c>
      <c r="E171" s="6" t="s">
        <v>52</v>
      </c>
      <c r="F171" s="6" t="s">
        <v>23</v>
      </c>
      <c r="G171" s="6" t="s">
        <v>71</v>
      </c>
      <c r="H171" s="6" t="s">
        <v>45</v>
      </c>
      <c r="I171" s="6" t="s">
        <v>259</v>
      </c>
      <c r="J171" s="6" t="s">
        <v>67</v>
      </c>
      <c r="K171" s="6" t="s">
        <v>47</v>
      </c>
      <c r="L171" s="6" t="s">
        <v>68</v>
      </c>
      <c r="M171" s="6" t="s">
        <v>30</v>
      </c>
      <c r="N171" s="6">
        <v>13</v>
      </c>
      <c r="O171" s="6">
        <v>20</v>
      </c>
      <c r="P171" s="6">
        <v>1204</v>
      </c>
      <c r="Q171" s="6" t="s">
        <v>48</v>
      </c>
      <c r="R171" s="6" t="s">
        <v>48</v>
      </c>
      <c r="S171" s="6" t="s">
        <v>32</v>
      </c>
      <c r="T171" s="6">
        <v>4.4000000000000004</v>
      </c>
    </row>
    <row r="172" spans="1:20">
      <c r="A172" s="6" t="s">
        <v>431</v>
      </c>
      <c r="B172" s="3">
        <v>45804</v>
      </c>
      <c r="C172" s="6" t="s">
        <v>96</v>
      </c>
      <c r="D172" s="6">
        <v>52</v>
      </c>
      <c r="E172" s="6" t="s">
        <v>52</v>
      </c>
      <c r="F172" s="6" t="s">
        <v>23</v>
      </c>
      <c r="G172" s="6" t="s">
        <v>24</v>
      </c>
      <c r="H172" s="6" t="s">
        <v>45</v>
      </c>
      <c r="I172" s="6" t="s">
        <v>122</v>
      </c>
      <c r="J172" s="6" t="s">
        <v>73</v>
      </c>
      <c r="K172" s="6" t="s">
        <v>28</v>
      </c>
      <c r="L172" s="6" t="s">
        <v>29</v>
      </c>
      <c r="M172" s="6" t="s">
        <v>30</v>
      </c>
      <c r="N172" s="6">
        <v>11</v>
      </c>
      <c r="O172" s="6">
        <v>28</v>
      </c>
      <c r="P172" s="6">
        <v>1031</v>
      </c>
      <c r="Q172" s="6" t="s">
        <v>48</v>
      </c>
      <c r="R172" s="6" t="s">
        <v>48</v>
      </c>
      <c r="S172" s="6" t="s">
        <v>32</v>
      </c>
      <c r="T172" s="6">
        <v>3.9</v>
      </c>
    </row>
    <row r="173" spans="1:20">
      <c r="A173" s="6" t="s">
        <v>432</v>
      </c>
      <c r="B173" s="3">
        <v>45781</v>
      </c>
      <c r="C173" s="6" t="s">
        <v>200</v>
      </c>
      <c r="D173" s="6">
        <v>34</v>
      </c>
      <c r="E173" s="6" t="s">
        <v>22</v>
      </c>
      <c r="F173" s="6" t="s">
        <v>23</v>
      </c>
      <c r="G173" s="6" t="s">
        <v>24</v>
      </c>
      <c r="H173" s="6" t="s">
        <v>134</v>
      </c>
      <c r="I173" s="6" t="s">
        <v>413</v>
      </c>
      <c r="J173" s="6" t="s">
        <v>67</v>
      </c>
      <c r="K173" s="6" t="s">
        <v>28</v>
      </c>
      <c r="L173" s="6" t="s">
        <v>40</v>
      </c>
      <c r="M173" s="6" t="s">
        <v>30</v>
      </c>
      <c r="N173" s="6">
        <v>5</v>
      </c>
      <c r="O173" s="6">
        <v>25</v>
      </c>
      <c r="P173" s="6">
        <v>1326</v>
      </c>
      <c r="Q173" s="6" t="s">
        <v>31</v>
      </c>
      <c r="R173" s="6" t="s">
        <v>31</v>
      </c>
      <c r="S173" s="6" t="s">
        <v>32</v>
      </c>
      <c r="T173" s="6">
        <v>4.0999999999999996</v>
      </c>
    </row>
    <row r="174" spans="1:20">
      <c r="A174" s="6" t="s">
        <v>433</v>
      </c>
      <c r="B174" s="3">
        <v>45781</v>
      </c>
      <c r="C174" s="6" t="s">
        <v>209</v>
      </c>
      <c r="D174" s="6">
        <v>70</v>
      </c>
      <c r="E174" s="6" t="s">
        <v>22</v>
      </c>
      <c r="F174" s="6" t="s">
        <v>77</v>
      </c>
      <c r="G174" s="6" t="s">
        <v>100</v>
      </c>
      <c r="H174" s="6" t="s">
        <v>79</v>
      </c>
      <c r="I174" s="6" t="s">
        <v>171</v>
      </c>
      <c r="J174" s="6" t="s">
        <v>39</v>
      </c>
      <c r="K174" s="6" t="s">
        <v>28</v>
      </c>
      <c r="L174" s="6" t="s">
        <v>29</v>
      </c>
      <c r="M174" s="6" t="s">
        <v>30</v>
      </c>
      <c r="N174" s="6">
        <v>5</v>
      </c>
      <c r="O174" s="6">
        <v>4</v>
      </c>
      <c r="P174" s="6">
        <v>804</v>
      </c>
      <c r="Q174" s="6" t="s">
        <v>31</v>
      </c>
      <c r="R174" s="6" t="s">
        <v>31</v>
      </c>
      <c r="S174" s="6" t="s">
        <v>32</v>
      </c>
      <c r="T174" s="6">
        <v>4.8</v>
      </c>
    </row>
    <row r="175" spans="1:20">
      <c r="A175" s="6" t="s">
        <v>434</v>
      </c>
      <c r="B175" s="3">
        <v>45779</v>
      </c>
      <c r="C175" s="6" t="s">
        <v>435</v>
      </c>
      <c r="D175" s="6">
        <v>61</v>
      </c>
      <c r="E175" s="6" t="s">
        <v>52</v>
      </c>
      <c r="F175" s="6" t="s">
        <v>23</v>
      </c>
      <c r="G175" s="6" t="s">
        <v>44</v>
      </c>
      <c r="H175" s="6" t="s">
        <v>45</v>
      </c>
      <c r="I175" s="6" t="s">
        <v>302</v>
      </c>
      <c r="J175" s="6" t="s">
        <v>67</v>
      </c>
      <c r="K175" s="6" t="s">
        <v>47</v>
      </c>
      <c r="L175" s="6" t="s">
        <v>68</v>
      </c>
      <c r="M175" s="6" t="s">
        <v>30</v>
      </c>
      <c r="N175" s="6">
        <v>10</v>
      </c>
      <c r="O175" s="6">
        <v>22</v>
      </c>
      <c r="P175" s="6">
        <v>839</v>
      </c>
      <c r="Q175" s="6" t="s">
        <v>31</v>
      </c>
      <c r="R175" s="6" t="s">
        <v>31</v>
      </c>
      <c r="S175" s="6" t="s">
        <v>49</v>
      </c>
      <c r="T175" s="6">
        <v>4.8</v>
      </c>
    </row>
    <row r="176" spans="1:20">
      <c r="A176" s="6" t="s">
        <v>436</v>
      </c>
      <c r="B176" s="3">
        <v>45793</v>
      </c>
      <c r="C176" s="6" t="s">
        <v>292</v>
      </c>
      <c r="D176" s="6">
        <v>26</v>
      </c>
      <c r="E176" s="6" t="s">
        <v>52</v>
      </c>
      <c r="F176" s="6" t="s">
        <v>77</v>
      </c>
      <c r="G176" s="6" t="s">
        <v>78</v>
      </c>
      <c r="H176" s="6" t="s">
        <v>101</v>
      </c>
      <c r="I176" s="6" t="s">
        <v>162</v>
      </c>
      <c r="J176" s="6" t="s">
        <v>84</v>
      </c>
      <c r="K176" s="6" t="s">
        <v>88</v>
      </c>
      <c r="L176" s="6" t="s">
        <v>40</v>
      </c>
      <c r="M176" s="6" t="s">
        <v>30</v>
      </c>
      <c r="N176" s="6">
        <v>11</v>
      </c>
      <c r="O176" s="6">
        <v>41</v>
      </c>
      <c r="P176" s="6">
        <v>1476</v>
      </c>
      <c r="Q176" s="6" t="s">
        <v>48</v>
      </c>
      <c r="R176" s="6" t="s">
        <v>31</v>
      </c>
      <c r="S176" s="6" t="s">
        <v>41</v>
      </c>
      <c r="T176" s="6">
        <v>3.5</v>
      </c>
    </row>
    <row r="177" spans="1:20">
      <c r="A177" s="6" t="s">
        <v>437</v>
      </c>
      <c r="B177" s="3">
        <v>45785</v>
      </c>
      <c r="C177" s="6" t="s">
        <v>281</v>
      </c>
      <c r="D177" s="6">
        <v>19</v>
      </c>
      <c r="E177" s="6" t="s">
        <v>52</v>
      </c>
      <c r="F177" s="6" t="s">
        <v>35</v>
      </c>
      <c r="G177" s="6" t="s">
        <v>64</v>
      </c>
      <c r="H177" s="6" t="s">
        <v>116</v>
      </c>
      <c r="I177" s="6" t="s">
        <v>244</v>
      </c>
      <c r="J177" s="6" t="s">
        <v>60</v>
      </c>
      <c r="K177" s="6" t="s">
        <v>88</v>
      </c>
      <c r="L177" s="6" t="s">
        <v>68</v>
      </c>
      <c r="M177" s="6" t="s">
        <v>30</v>
      </c>
      <c r="N177" s="6">
        <v>6</v>
      </c>
      <c r="O177" s="6">
        <v>30</v>
      </c>
      <c r="P177" s="6">
        <v>1484</v>
      </c>
      <c r="Q177" s="6" t="s">
        <v>31</v>
      </c>
      <c r="R177" s="6" t="s">
        <v>31</v>
      </c>
      <c r="S177" s="6" t="s">
        <v>32</v>
      </c>
      <c r="T177" s="6">
        <v>3.7</v>
      </c>
    </row>
    <row r="178" spans="1:20">
      <c r="A178" s="6" t="s">
        <v>438</v>
      </c>
      <c r="B178" s="3">
        <v>45800</v>
      </c>
      <c r="C178" s="6" t="s">
        <v>167</v>
      </c>
      <c r="D178" s="6">
        <v>29</v>
      </c>
      <c r="E178" s="6" t="s">
        <v>22</v>
      </c>
      <c r="F178" s="6" t="s">
        <v>77</v>
      </c>
      <c r="G178" s="6" t="s">
        <v>138</v>
      </c>
      <c r="H178" s="6" t="s">
        <v>147</v>
      </c>
      <c r="I178" s="6" t="s">
        <v>259</v>
      </c>
      <c r="J178" s="6" t="s">
        <v>39</v>
      </c>
      <c r="K178" s="6" t="s">
        <v>28</v>
      </c>
      <c r="L178" s="6" t="s">
        <v>40</v>
      </c>
      <c r="M178" s="6" t="s">
        <v>74</v>
      </c>
      <c r="N178" s="6">
        <v>23</v>
      </c>
      <c r="O178" s="6">
        <v>0</v>
      </c>
      <c r="P178" s="6">
        <v>0</v>
      </c>
      <c r="Q178" s="6" t="s">
        <v>48</v>
      </c>
      <c r="R178" s="6" t="s">
        <v>48</v>
      </c>
      <c r="S178" s="6" t="s">
        <v>49</v>
      </c>
      <c r="T178" s="6">
        <v>2.73</v>
      </c>
    </row>
    <row r="179" spans="1:20">
      <c r="A179" s="6" t="s">
        <v>439</v>
      </c>
      <c r="B179" s="3">
        <v>45785</v>
      </c>
      <c r="C179" s="6" t="s">
        <v>440</v>
      </c>
      <c r="D179" s="6">
        <v>29</v>
      </c>
      <c r="E179" s="6" t="s">
        <v>52</v>
      </c>
      <c r="F179" s="6" t="s">
        <v>53</v>
      </c>
      <c r="G179" s="6" t="s">
        <v>91</v>
      </c>
      <c r="H179" s="6" t="s">
        <v>125</v>
      </c>
      <c r="I179" s="6" t="s">
        <v>253</v>
      </c>
      <c r="J179" s="6" t="s">
        <v>67</v>
      </c>
      <c r="K179" s="6" t="s">
        <v>47</v>
      </c>
      <c r="L179" s="6" t="s">
        <v>29</v>
      </c>
      <c r="M179" s="6" t="s">
        <v>61</v>
      </c>
      <c r="N179" s="6">
        <v>6</v>
      </c>
      <c r="O179" s="6">
        <v>0</v>
      </c>
      <c r="P179" s="6">
        <v>0</v>
      </c>
      <c r="Q179" s="6" t="s">
        <v>48</v>
      </c>
      <c r="R179" s="6" t="s">
        <v>31</v>
      </c>
      <c r="S179" s="6" t="s">
        <v>49</v>
      </c>
      <c r="T179" s="6">
        <v>2.73</v>
      </c>
    </row>
    <row r="180" spans="1:20">
      <c r="A180" s="6" t="s">
        <v>441</v>
      </c>
      <c r="B180" s="3">
        <v>45808</v>
      </c>
      <c r="C180" s="6" t="s">
        <v>442</v>
      </c>
      <c r="D180" s="6">
        <v>69</v>
      </c>
      <c r="E180" s="6" t="s">
        <v>52</v>
      </c>
      <c r="F180" s="6" t="s">
        <v>23</v>
      </c>
      <c r="G180" s="6" t="s">
        <v>71</v>
      </c>
      <c r="H180" s="6" t="s">
        <v>134</v>
      </c>
      <c r="I180" s="6" t="s">
        <v>443</v>
      </c>
      <c r="J180" s="6" t="s">
        <v>39</v>
      </c>
      <c r="K180" s="6" t="s">
        <v>88</v>
      </c>
      <c r="L180" s="6" t="s">
        <v>40</v>
      </c>
      <c r="M180" s="6" t="s">
        <v>30</v>
      </c>
      <c r="N180" s="6">
        <v>6</v>
      </c>
      <c r="O180" s="6">
        <v>1</v>
      </c>
      <c r="P180" s="6">
        <v>702</v>
      </c>
      <c r="Q180" s="6" t="s">
        <v>31</v>
      </c>
      <c r="R180" s="6" t="s">
        <v>31</v>
      </c>
      <c r="S180" s="6" t="s">
        <v>32</v>
      </c>
      <c r="T180" s="6">
        <v>4.2</v>
      </c>
    </row>
    <row r="181" spans="1:20">
      <c r="A181" s="6" t="s">
        <v>444</v>
      </c>
      <c r="B181" s="3">
        <v>45804</v>
      </c>
      <c r="C181" s="6" t="s">
        <v>440</v>
      </c>
      <c r="D181" s="6">
        <v>68</v>
      </c>
      <c r="E181" s="6" t="s">
        <v>52</v>
      </c>
      <c r="F181" s="6" t="s">
        <v>23</v>
      </c>
      <c r="G181" s="6" t="s">
        <v>44</v>
      </c>
      <c r="H181" s="6" t="s">
        <v>25</v>
      </c>
      <c r="I181" s="6" t="s">
        <v>179</v>
      </c>
      <c r="J181" s="6" t="s">
        <v>113</v>
      </c>
      <c r="K181" s="6" t="s">
        <v>47</v>
      </c>
      <c r="L181" s="6" t="s">
        <v>29</v>
      </c>
      <c r="M181" s="6" t="s">
        <v>30</v>
      </c>
      <c r="N181" s="6">
        <v>25</v>
      </c>
      <c r="O181" s="6">
        <v>20</v>
      </c>
      <c r="P181" s="6">
        <v>756</v>
      </c>
      <c r="Q181" s="6" t="s">
        <v>31</v>
      </c>
      <c r="R181" s="6" t="s">
        <v>31</v>
      </c>
      <c r="S181" s="6" t="s">
        <v>41</v>
      </c>
      <c r="T181" s="6">
        <v>4.4000000000000004</v>
      </c>
    </row>
    <row r="182" spans="1:20">
      <c r="A182" s="6" t="s">
        <v>445</v>
      </c>
      <c r="B182" s="3">
        <v>45788</v>
      </c>
      <c r="C182" s="6" t="s">
        <v>446</v>
      </c>
      <c r="D182" s="6">
        <v>29</v>
      </c>
      <c r="E182" s="6" t="s">
        <v>52</v>
      </c>
      <c r="F182" s="6" t="s">
        <v>77</v>
      </c>
      <c r="G182" s="6" t="s">
        <v>138</v>
      </c>
      <c r="H182" s="6" t="s">
        <v>101</v>
      </c>
      <c r="I182" s="6" t="s">
        <v>93</v>
      </c>
      <c r="J182" s="6" t="s">
        <v>27</v>
      </c>
      <c r="K182" s="6" t="s">
        <v>28</v>
      </c>
      <c r="L182" s="6" t="s">
        <v>29</v>
      </c>
      <c r="M182" s="6" t="s">
        <v>107</v>
      </c>
      <c r="N182" s="6">
        <v>24</v>
      </c>
      <c r="O182" s="6">
        <v>0</v>
      </c>
      <c r="P182" s="6">
        <v>0</v>
      </c>
      <c r="Q182" s="6" t="s">
        <v>48</v>
      </c>
      <c r="R182" s="6" t="s">
        <v>48</v>
      </c>
      <c r="S182" s="6" t="s">
        <v>49</v>
      </c>
      <c r="T182" s="6">
        <v>2.73</v>
      </c>
    </row>
    <row r="183" spans="1:20">
      <c r="A183" s="6" t="s">
        <v>447</v>
      </c>
      <c r="B183" s="3">
        <v>45792</v>
      </c>
      <c r="C183" s="6" t="s">
        <v>352</v>
      </c>
      <c r="D183" s="6">
        <v>18</v>
      </c>
      <c r="E183" s="6" t="s">
        <v>52</v>
      </c>
      <c r="F183" s="6" t="s">
        <v>23</v>
      </c>
      <c r="G183" s="6" t="s">
        <v>24</v>
      </c>
      <c r="H183" s="6" t="s">
        <v>134</v>
      </c>
      <c r="I183" s="6" t="s">
        <v>253</v>
      </c>
      <c r="J183" s="6" t="s">
        <v>60</v>
      </c>
      <c r="K183" s="6" t="s">
        <v>28</v>
      </c>
      <c r="L183" s="6" t="s">
        <v>40</v>
      </c>
      <c r="M183" s="6" t="s">
        <v>30</v>
      </c>
      <c r="N183" s="6">
        <v>11</v>
      </c>
      <c r="O183" s="6">
        <v>15</v>
      </c>
      <c r="P183" s="6">
        <v>538</v>
      </c>
      <c r="Q183" s="6" t="s">
        <v>48</v>
      </c>
      <c r="R183" s="6" t="s">
        <v>31</v>
      </c>
      <c r="S183" s="6" t="s">
        <v>49</v>
      </c>
      <c r="T183" s="6">
        <v>3.7</v>
      </c>
    </row>
    <row r="184" spans="1:20">
      <c r="A184" s="6" t="s">
        <v>448</v>
      </c>
      <c r="B184" s="3">
        <v>45786</v>
      </c>
      <c r="C184" s="6" t="s">
        <v>427</v>
      </c>
      <c r="D184" s="6">
        <v>68</v>
      </c>
      <c r="E184" s="6" t="s">
        <v>22</v>
      </c>
      <c r="F184" s="6" t="s">
        <v>35</v>
      </c>
      <c r="G184" s="6" t="s">
        <v>105</v>
      </c>
      <c r="H184" s="6" t="s">
        <v>37</v>
      </c>
      <c r="I184" s="6" t="s">
        <v>449</v>
      </c>
      <c r="J184" s="6" t="s">
        <v>84</v>
      </c>
      <c r="K184" s="6" t="s">
        <v>88</v>
      </c>
      <c r="L184" s="6" t="s">
        <v>68</v>
      </c>
      <c r="M184" s="6" t="s">
        <v>30</v>
      </c>
      <c r="N184" s="6">
        <v>10</v>
      </c>
      <c r="O184" s="6">
        <v>28</v>
      </c>
      <c r="P184" s="6">
        <v>550</v>
      </c>
      <c r="Q184" s="6" t="s">
        <v>48</v>
      </c>
      <c r="R184" s="6" t="s">
        <v>31</v>
      </c>
      <c r="S184" s="6" t="s">
        <v>41</v>
      </c>
      <c r="T184" s="6">
        <v>4.5999999999999996</v>
      </c>
    </row>
    <row r="185" spans="1:20">
      <c r="A185" s="6" t="s">
        <v>450</v>
      </c>
      <c r="B185" s="3">
        <v>45788</v>
      </c>
      <c r="C185" s="6" t="s">
        <v>451</v>
      </c>
      <c r="D185" s="6">
        <v>39</v>
      </c>
      <c r="E185" s="6" t="s">
        <v>52</v>
      </c>
      <c r="F185" s="6" t="s">
        <v>23</v>
      </c>
      <c r="G185" s="6" t="s">
        <v>24</v>
      </c>
      <c r="H185" s="6" t="s">
        <v>134</v>
      </c>
      <c r="I185" s="6" t="s">
        <v>290</v>
      </c>
      <c r="J185" s="6" t="s">
        <v>67</v>
      </c>
      <c r="K185" s="6" t="s">
        <v>88</v>
      </c>
      <c r="L185" s="6" t="s">
        <v>29</v>
      </c>
      <c r="M185" s="6" t="s">
        <v>30</v>
      </c>
      <c r="N185" s="6">
        <v>5</v>
      </c>
      <c r="O185" s="6">
        <v>27</v>
      </c>
      <c r="P185" s="6">
        <v>737</v>
      </c>
      <c r="Q185" s="6" t="s">
        <v>31</v>
      </c>
      <c r="R185" s="6" t="s">
        <v>31</v>
      </c>
      <c r="S185" s="6" t="s">
        <v>49</v>
      </c>
      <c r="T185" s="6">
        <v>4.2</v>
      </c>
    </row>
    <row r="186" spans="1:20">
      <c r="A186" s="6" t="s">
        <v>452</v>
      </c>
      <c r="B186" s="3">
        <v>45778</v>
      </c>
      <c r="C186" s="6" t="s">
        <v>453</v>
      </c>
      <c r="D186" s="6">
        <v>27</v>
      </c>
      <c r="E186" s="6" t="s">
        <v>22</v>
      </c>
      <c r="F186" s="6" t="s">
        <v>77</v>
      </c>
      <c r="G186" s="6" t="s">
        <v>100</v>
      </c>
      <c r="H186" s="6" t="s">
        <v>101</v>
      </c>
      <c r="I186" s="6" t="s">
        <v>66</v>
      </c>
      <c r="J186" s="6" t="s">
        <v>27</v>
      </c>
      <c r="K186" s="6" t="s">
        <v>47</v>
      </c>
      <c r="L186" s="6" t="s">
        <v>68</v>
      </c>
      <c r="M186" s="6" t="s">
        <v>30</v>
      </c>
      <c r="N186" s="6">
        <v>16</v>
      </c>
      <c r="O186" s="6">
        <v>0</v>
      </c>
      <c r="P186" s="6">
        <v>1275</v>
      </c>
      <c r="Q186" s="6" t="s">
        <v>48</v>
      </c>
      <c r="R186" s="6" t="s">
        <v>31</v>
      </c>
      <c r="S186" s="6" t="s">
        <v>32</v>
      </c>
      <c r="T186" s="6">
        <v>3.2</v>
      </c>
    </row>
    <row r="187" spans="1:20">
      <c r="A187" s="6" t="s">
        <v>454</v>
      </c>
      <c r="B187" s="3">
        <v>45779</v>
      </c>
      <c r="C187" s="6" t="s">
        <v>336</v>
      </c>
      <c r="D187" s="6">
        <v>49</v>
      </c>
      <c r="E187" s="6" t="s">
        <v>52</v>
      </c>
      <c r="F187" s="6" t="s">
        <v>77</v>
      </c>
      <c r="G187" s="6" t="s">
        <v>100</v>
      </c>
      <c r="H187" s="6" t="s">
        <v>147</v>
      </c>
      <c r="I187" s="6" t="s">
        <v>83</v>
      </c>
      <c r="J187" s="6" t="s">
        <v>27</v>
      </c>
      <c r="K187" s="6" t="s">
        <v>28</v>
      </c>
      <c r="L187" s="6" t="s">
        <v>68</v>
      </c>
      <c r="M187" s="6" t="s">
        <v>30</v>
      </c>
      <c r="N187" s="6">
        <v>7</v>
      </c>
      <c r="O187" s="6">
        <v>41</v>
      </c>
      <c r="P187" s="6">
        <v>1193</v>
      </c>
      <c r="Q187" s="6" t="s">
        <v>48</v>
      </c>
      <c r="R187" s="6" t="s">
        <v>31</v>
      </c>
      <c r="S187" s="6" t="s">
        <v>49</v>
      </c>
      <c r="T187" s="6">
        <v>3.4</v>
      </c>
    </row>
    <row r="188" spans="1:20">
      <c r="A188" s="6" t="s">
        <v>455</v>
      </c>
      <c r="B188" s="3">
        <v>45796</v>
      </c>
      <c r="C188" s="6" t="s">
        <v>345</v>
      </c>
      <c r="D188" s="6">
        <v>60</v>
      </c>
      <c r="E188" s="6" t="s">
        <v>52</v>
      </c>
      <c r="F188" s="6" t="s">
        <v>53</v>
      </c>
      <c r="G188" s="6" t="s">
        <v>54</v>
      </c>
      <c r="H188" s="6" t="s">
        <v>92</v>
      </c>
      <c r="I188" s="6" t="s">
        <v>156</v>
      </c>
      <c r="J188" s="6" t="s">
        <v>27</v>
      </c>
      <c r="K188" s="6" t="s">
        <v>28</v>
      </c>
      <c r="L188" s="6" t="s">
        <v>68</v>
      </c>
      <c r="M188" s="6" t="s">
        <v>30</v>
      </c>
      <c r="N188" s="6">
        <v>22</v>
      </c>
      <c r="O188" s="6">
        <v>26</v>
      </c>
      <c r="P188" s="6">
        <v>865</v>
      </c>
      <c r="Q188" s="6" t="s">
        <v>31</v>
      </c>
      <c r="R188" s="6" t="s">
        <v>48</v>
      </c>
      <c r="S188" s="6" t="s">
        <v>41</v>
      </c>
      <c r="T188" s="6">
        <v>4.0999999999999996</v>
      </c>
    </row>
    <row r="189" spans="1:20">
      <c r="A189" s="6" t="s">
        <v>456</v>
      </c>
      <c r="B189" s="3">
        <v>45799</v>
      </c>
      <c r="C189" s="6" t="s">
        <v>241</v>
      </c>
      <c r="D189" s="6">
        <v>25</v>
      </c>
      <c r="E189" s="6" t="s">
        <v>52</v>
      </c>
      <c r="F189" s="6" t="s">
        <v>77</v>
      </c>
      <c r="G189" s="6" t="s">
        <v>138</v>
      </c>
      <c r="H189" s="6" t="s">
        <v>101</v>
      </c>
      <c r="I189" s="6" t="s">
        <v>234</v>
      </c>
      <c r="J189" s="6" t="s">
        <v>73</v>
      </c>
      <c r="K189" s="6" t="s">
        <v>88</v>
      </c>
      <c r="L189" s="6" t="s">
        <v>40</v>
      </c>
      <c r="M189" s="6" t="s">
        <v>30</v>
      </c>
      <c r="N189" s="6">
        <v>10</v>
      </c>
      <c r="O189" s="6">
        <v>10</v>
      </c>
      <c r="P189" s="6">
        <v>833</v>
      </c>
      <c r="Q189" s="6" t="s">
        <v>31</v>
      </c>
      <c r="R189" s="6" t="s">
        <v>31</v>
      </c>
      <c r="S189" s="6" t="s">
        <v>32</v>
      </c>
      <c r="T189" s="6">
        <v>4.5999999999999996</v>
      </c>
    </row>
    <row r="190" spans="1:20">
      <c r="A190" s="6" t="s">
        <v>457</v>
      </c>
      <c r="B190" s="3">
        <v>45807</v>
      </c>
      <c r="C190" s="6" t="s">
        <v>141</v>
      </c>
      <c r="D190" s="6">
        <v>42</v>
      </c>
      <c r="E190" s="6" t="s">
        <v>52</v>
      </c>
      <c r="F190" s="6" t="s">
        <v>35</v>
      </c>
      <c r="G190" s="6" t="s">
        <v>105</v>
      </c>
      <c r="H190" s="6" t="s">
        <v>116</v>
      </c>
      <c r="I190" s="6" t="s">
        <v>220</v>
      </c>
      <c r="J190" s="6" t="s">
        <v>67</v>
      </c>
      <c r="K190" s="6" t="s">
        <v>47</v>
      </c>
      <c r="L190" s="6" t="s">
        <v>68</v>
      </c>
      <c r="M190" s="6" t="s">
        <v>74</v>
      </c>
      <c r="N190" s="6">
        <v>22</v>
      </c>
      <c r="O190" s="6">
        <v>0</v>
      </c>
      <c r="P190" s="6">
        <v>0</v>
      </c>
      <c r="Q190" s="6" t="s">
        <v>31</v>
      </c>
      <c r="R190" s="6" t="s">
        <v>48</v>
      </c>
      <c r="S190" s="6" t="s">
        <v>41</v>
      </c>
      <c r="T190" s="6">
        <v>2.73</v>
      </c>
    </row>
    <row r="191" spans="1:20">
      <c r="A191" s="6" t="s">
        <v>458</v>
      </c>
      <c r="B191" s="3">
        <v>45797</v>
      </c>
      <c r="C191" s="6" t="s">
        <v>459</v>
      </c>
      <c r="D191" s="6">
        <v>54</v>
      </c>
      <c r="E191" s="6" t="s">
        <v>22</v>
      </c>
      <c r="F191" s="6" t="s">
        <v>23</v>
      </c>
      <c r="G191" s="6" t="s">
        <v>71</v>
      </c>
      <c r="H191" s="6" t="s">
        <v>25</v>
      </c>
      <c r="I191" s="6" t="s">
        <v>378</v>
      </c>
      <c r="J191" s="6" t="s">
        <v>113</v>
      </c>
      <c r="K191" s="6" t="s">
        <v>28</v>
      </c>
      <c r="L191" s="6" t="s">
        <v>68</v>
      </c>
      <c r="M191" s="6" t="s">
        <v>30</v>
      </c>
      <c r="N191" s="6">
        <v>14</v>
      </c>
      <c r="O191" s="6">
        <v>34</v>
      </c>
      <c r="P191" s="6">
        <v>1104</v>
      </c>
      <c r="Q191" s="6" t="s">
        <v>31</v>
      </c>
      <c r="R191" s="6" t="s">
        <v>48</v>
      </c>
      <c r="S191" s="6" t="s">
        <v>32</v>
      </c>
      <c r="T191" s="6">
        <v>4.8</v>
      </c>
    </row>
    <row r="192" spans="1:20">
      <c r="A192" s="6" t="s">
        <v>460</v>
      </c>
      <c r="B192" s="3">
        <v>45788</v>
      </c>
      <c r="C192" s="6" t="s">
        <v>246</v>
      </c>
      <c r="D192" s="6">
        <v>20</v>
      </c>
      <c r="E192" s="6" t="s">
        <v>52</v>
      </c>
      <c r="F192" s="6" t="s">
        <v>35</v>
      </c>
      <c r="G192" s="6" t="s">
        <v>105</v>
      </c>
      <c r="H192" s="6" t="s">
        <v>65</v>
      </c>
      <c r="I192" s="6" t="s">
        <v>394</v>
      </c>
      <c r="J192" s="6" t="s">
        <v>27</v>
      </c>
      <c r="K192" s="6" t="s">
        <v>88</v>
      </c>
      <c r="L192" s="6" t="s">
        <v>29</v>
      </c>
      <c r="M192" s="6" t="s">
        <v>30</v>
      </c>
      <c r="N192" s="6">
        <v>15</v>
      </c>
      <c r="O192" s="6">
        <v>44</v>
      </c>
      <c r="P192" s="6">
        <v>886</v>
      </c>
      <c r="Q192" s="6" t="s">
        <v>48</v>
      </c>
      <c r="R192" s="6" t="s">
        <v>31</v>
      </c>
      <c r="S192" s="6" t="s">
        <v>49</v>
      </c>
      <c r="T192" s="6">
        <v>3.1</v>
      </c>
    </row>
    <row r="193" spans="1:20">
      <c r="A193" s="6" t="s">
        <v>461</v>
      </c>
      <c r="B193" s="3">
        <v>45784</v>
      </c>
      <c r="C193" s="6" t="s">
        <v>462</v>
      </c>
      <c r="D193" s="6">
        <v>65</v>
      </c>
      <c r="E193" s="6" t="s">
        <v>52</v>
      </c>
      <c r="F193" s="6" t="s">
        <v>53</v>
      </c>
      <c r="G193" s="6" t="s">
        <v>54</v>
      </c>
      <c r="H193" s="6" t="s">
        <v>92</v>
      </c>
      <c r="I193" s="6" t="s">
        <v>378</v>
      </c>
      <c r="J193" s="6" t="s">
        <v>84</v>
      </c>
      <c r="K193" s="6" t="s">
        <v>47</v>
      </c>
      <c r="L193" s="6" t="s">
        <v>40</v>
      </c>
      <c r="M193" s="6" t="s">
        <v>61</v>
      </c>
      <c r="N193" s="6">
        <v>15</v>
      </c>
      <c r="O193" s="6">
        <v>0</v>
      </c>
      <c r="P193" s="6">
        <v>0</v>
      </c>
      <c r="Q193" s="6" t="s">
        <v>31</v>
      </c>
      <c r="R193" s="6" t="s">
        <v>31</v>
      </c>
      <c r="S193" s="6" t="s">
        <v>32</v>
      </c>
      <c r="T193" s="6">
        <v>2.73</v>
      </c>
    </row>
    <row r="194" spans="1:20">
      <c r="A194" s="6" t="s">
        <v>463</v>
      </c>
      <c r="B194" s="3">
        <v>45792</v>
      </c>
      <c r="C194" s="6" t="s">
        <v>331</v>
      </c>
      <c r="D194" s="6">
        <v>37</v>
      </c>
      <c r="E194" s="6" t="s">
        <v>52</v>
      </c>
      <c r="F194" s="6" t="s">
        <v>35</v>
      </c>
      <c r="G194" s="6" t="s">
        <v>105</v>
      </c>
      <c r="H194" s="6" t="s">
        <v>37</v>
      </c>
      <c r="I194" s="6" t="s">
        <v>106</v>
      </c>
      <c r="J194" s="6" t="s">
        <v>84</v>
      </c>
      <c r="K194" s="6" t="s">
        <v>47</v>
      </c>
      <c r="L194" s="6" t="s">
        <v>68</v>
      </c>
      <c r="M194" s="6" t="s">
        <v>30</v>
      </c>
      <c r="N194" s="6">
        <v>9</v>
      </c>
      <c r="O194" s="6">
        <v>33</v>
      </c>
      <c r="P194" s="6">
        <v>459</v>
      </c>
      <c r="Q194" s="6" t="s">
        <v>31</v>
      </c>
      <c r="R194" s="6" t="s">
        <v>48</v>
      </c>
      <c r="S194" s="6" t="s">
        <v>49</v>
      </c>
      <c r="T194" s="6">
        <v>3.3</v>
      </c>
    </row>
    <row r="195" spans="1:20">
      <c r="A195" s="6" t="s">
        <v>464</v>
      </c>
      <c r="B195" s="3">
        <v>45789</v>
      </c>
      <c r="C195" s="6" t="s">
        <v>104</v>
      </c>
      <c r="D195" s="6">
        <v>61</v>
      </c>
      <c r="E195" s="6" t="s">
        <v>22</v>
      </c>
      <c r="F195" s="6" t="s">
        <v>23</v>
      </c>
      <c r="G195" s="6" t="s">
        <v>44</v>
      </c>
      <c r="H195" s="6" t="s">
        <v>25</v>
      </c>
      <c r="I195" s="6" t="s">
        <v>296</v>
      </c>
      <c r="J195" s="6" t="s">
        <v>94</v>
      </c>
      <c r="K195" s="6" t="s">
        <v>88</v>
      </c>
      <c r="L195" s="6" t="s">
        <v>68</v>
      </c>
      <c r="M195" s="6" t="s">
        <v>30</v>
      </c>
      <c r="N195" s="6">
        <v>12</v>
      </c>
      <c r="O195" s="6">
        <v>23</v>
      </c>
      <c r="P195" s="6">
        <v>1401</v>
      </c>
      <c r="Q195" s="6" t="s">
        <v>31</v>
      </c>
      <c r="R195" s="6" t="s">
        <v>31</v>
      </c>
      <c r="S195" s="6" t="s">
        <v>49</v>
      </c>
      <c r="T195" s="6">
        <v>4.2</v>
      </c>
    </row>
    <row r="196" spans="1:20">
      <c r="A196" s="6" t="s">
        <v>465</v>
      </c>
      <c r="B196" s="3">
        <v>45807</v>
      </c>
      <c r="C196" s="6" t="s">
        <v>466</v>
      </c>
      <c r="D196" s="6">
        <v>72</v>
      </c>
      <c r="E196" s="6" t="s">
        <v>22</v>
      </c>
      <c r="F196" s="6" t="s">
        <v>53</v>
      </c>
      <c r="G196" s="6" t="s">
        <v>58</v>
      </c>
      <c r="H196" s="6" t="s">
        <v>92</v>
      </c>
      <c r="I196" s="6" t="s">
        <v>159</v>
      </c>
      <c r="J196" s="6" t="s">
        <v>73</v>
      </c>
      <c r="K196" s="6" t="s">
        <v>88</v>
      </c>
      <c r="L196" s="6" t="s">
        <v>29</v>
      </c>
      <c r="M196" s="6" t="s">
        <v>30</v>
      </c>
      <c r="N196" s="6">
        <v>25</v>
      </c>
      <c r="O196" s="6">
        <v>14</v>
      </c>
      <c r="P196" s="6">
        <v>823</v>
      </c>
      <c r="Q196" s="6" t="s">
        <v>31</v>
      </c>
      <c r="R196" s="6" t="s">
        <v>31</v>
      </c>
      <c r="S196" s="6" t="s">
        <v>41</v>
      </c>
      <c r="T196" s="6">
        <v>3.5</v>
      </c>
    </row>
    <row r="197" spans="1:20">
      <c r="A197" s="6" t="s">
        <v>467</v>
      </c>
      <c r="B197" s="3">
        <v>45787</v>
      </c>
      <c r="C197" s="6" t="s">
        <v>468</v>
      </c>
      <c r="D197" s="6">
        <v>75</v>
      </c>
      <c r="E197" s="6" t="s">
        <v>52</v>
      </c>
      <c r="F197" s="6" t="s">
        <v>77</v>
      </c>
      <c r="G197" s="6" t="s">
        <v>78</v>
      </c>
      <c r="H197" s="6" t="s">
        <v>79</v>
      </c>
      <c r="I197" s="6" t="s">
        <v>394</v>
      </c>
      <c r="J197" s="6" t="s">
        <v>39</v>
      </c>
      <c r="K197" s="6" t="s">
        <v>28</v>
      </c>
      <c r="L197" s="6" t="s">
        <v>68</v>
      </c>
      <c r="M197" s="6" t="s">
        <v>107</v>
      </c>
      <c r="N197" s="6">
        <v>16</v>
      </c>
      <c r="O197" s="6">
        <v>0</v>
      </c>
      <c r="P197" s="6">
        <v>0</v>
      </c>
      <c r="Q197" s="6" t="s">
        <v>48</v>
      </c>
      <c r="R197" s="6" t="s">
        <v>31</v>
      </c>
      <c r="S197" s="6" t="s">
        <v>49</v>
      </c>
      <c r="T197" s="6">
        <v>2.73</v>
      </c>
    </row>
    <row r="198" spans="1:20">
      <c r="A198" s="6" t="s">
        <v>469</v>
      </c>
      <c r="B198" s="3">
        <v>45805</v>
      </c>
      <c r="C198" s="6" t="s">
        <v>470</v>
      </c>
      <c r="D198" s="6">
        <v>61</v>
      </c>
      <c r="E198" s="6" t="s">
        <v>22</v>
      </c>
      <c r="F198" s="6" t="s">
        <v>35</v>
      </c>
      <c r="G198" s="6" t="s">
        <v>36</v>
      </c>
      <c r="H198" s="6" t="s">
        <v>65</v>
      </c>
      <c r="I198" s="6" t="s">
        <v>284</v>
      </c>
      <c r="J198" s="6" t="s">
        <v>39</v>
      </c>
      <c r="K198" s="6" t="s">
        <v>47</v>
      </c>
      <c r="L198" s="6" t="s">
        <v>40</v>
      </c>
      <c r="M198" s="6" t="s">
        <v>61</v>
      </c>
      <c r="N198" s="6">
        <v>20</v>
      </c>
      <c r="O198" s="6">
        <v>0</v>
      </c>
      <c r="P198" s="6">
        <v>0</v>
      </c>
      <c r="Q198" s="6" t="s">
        <v>48</v>
      </c>
      <c r="R198" s="6" t="s">
        <v>31</v>
      </c>
      <c r="S198" s="6" t="s">
        <v>49</v>
      </c>
      <c r="T198" s="6">
        <v>2.73</v>
      </c>
    </row>
    <row r="199" spans="1:20">
      <c r="A199" s="6" t="s">
        <v>471</v>
      </c>
      <c r="B199" s="3">
        <v>45801</v>
      </c>
      <c r="C199" s="6" t="s">
        <v>366</v>
      </c>
      <c r="D199" s="6">
        <v>60</v>
      </c>
      <c r="E199" s="6" t="s">
        <v>52</v>
      </c>
      <c r="F199" s="6" t="s">
        <v>53</v>
      </c>
      <c r="G199" s="6" t="s">
        <v>54</v>
      </c>
      <c r="H199" s="6" t="s">
        <v>125</v>
      </c>
      <c r="I199" s="6" t="s">
        <v>378</v>
      </c>
      <c r="J199" s="6" t="s">
        <v>27</v>
      </c>
      <c r="K199" s="6" t="s">
        <v>28</v>
      </c>
      <c r="L199" s="6" t="s">
        <v>29</v>
      </c>
      <c r="M199" s="6" t="s">
        <v>30</v>
      </c>
      <c r="N199" s="6">
        <v>9</v>
      </c>
      <c r="O199" s="6">
        <v>1</v>
      </c>
      <c r="P199" s="6">
        <v>1418</v>
      </c>
      <c r="Q199" s="6" t="s">
        <v>31</v>
      </c>
      <c r="R199" s="6" t="s">
        <v>31</v>
      </c>
      <c r="S199" s="6" t="s">
        <v>41</v>
      </c>
      <c r="T199" s="6">
        <v>5</v>
      </c>
    </row>
    <row r="200" spans="1:20">
      <c r="A200" s="6" t="s">
        <v>472</v>
      </c>
      <c r="B200" s="3">
        <v>45793</v>
      </c>
      <c r="C200" s="6" t="s">
        <v>473</v>
      </c>
      <c r="D200" s="6">
        <v>60</v>
      </c>
      <c r="E200" s="6" t="s">
        <v>52</v>
      </c>
      <c r="F200" s="6" t="s">
        <v>23</v>
      </c>
      <c r="G200" s="6" t="s">
        <v>71</v>
      </c>
      <c r="H200" s="6" t="s">
        <v>25</v>
      </c>
      <c r="I200" s="6" t="s">
        <v>139</v>
      </c>
      <c r="J200" s="6" t="s">
        <v>94</v>
      </c>
      <c r="K200" s="6" t="s">
        <v>88</v>
      </c>
      <c r="L200" s="6" t="s">
        <v>40</v>
      </c>
      <c r="M200" s="6" t="s">
        <v>30</v>
      </c>
      <c r="N200" s="6">
        <v>21</v>
      </c>
      <c r="O200" s="6">
        <v>19</v>
      </c>
      <c r="P200" s="6">
        <v>748</v>
      </c>
      <c r="Q200" s="6" t="s">
        <v>48</v>
      </c>
      <c r="R200" s="6" t="s">
        <v>31</v>
      </c>
      <c r="S200" s="6" t="s">
        <v>49</v>
      </c>
      <c r="T200" s="6">
        <v>4.7</v>
      </c>
    </row>
    <row r="201" spans="1:20">
      <c r="A201" s="6" t="s">
        <v>474</v>
      </c>
      <c r="B201" s="3">
        <v>45796</v>
      </c>
      <c r="C201" s="6" t="s">
        <v>323</v>
      </c>
      <c r="D201" s="6">
        <v>44</v>
      </c>
      <c r="E201" s="6" t="s">
        <v>52</v>
      </c>
      <c r="F201" s="6" t="s">
        <v>77</v>
      </c>
      <c r="G201" s="6" t="s">
        <v>78</v>
      </c>
      <c r="H201" s="6" t="s">
        <v>101</v>
      </c>
      <c r="I201" s="6" t="s">
        <v>226</v>
      </c>
      <c r="J201" s="6" t="s">
        <v>67</v>
      </c>
      <c r="K201" s="6" t="s">
        <v>47</v>
      </c>
      <c r="L201" s="6" t="s">
        <v>68</v>
      </c>
      <c r="M201" s="6" t="s">
        <v>30</v>
      </c>
      <c r="N201" s="6">
        <v>16</v>
      </c>
      <c r="O201" s="6">
        <v>16</v>
      </c>
      <c r="P201" s="6">
        <v>1002</v>
      </c>
      <c r="Q201" s="6" t="s">
        <v>31</v>
      </c>
      <c r="R201" s="6" t="s">
        <v>31</v>
      </c>
      <c r="S201" s="6" t="s">
        <v>49</v>
      </c>
      <c r="T201" s="6">
        <v>3.9</v>
      </c>
    </row>
  </sheetData>
  <autoFilter ref="J1:J2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364D-6C5E-49FD-B640-EF49A8835C93}">
  <dimension ref="A1"/>
  <sheetViews>
    <sheetView topLeftCell="B31" workbookViewId="0">
      <selection activeCell="K8" sqref="K8"/>
    </sheetView>
  </sheetViews>
  <sheetFormatPr defaultRowHeight="15"/>
  <cols>
    <col min="1" max="1" width="11.140625" bestFit="1" customWidth="1"/>
    <col min="2" max="2" width="23.7109375" bestFit="1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2649-9A71-41E4-8726-4ECA0828A3DB}">
  <dimension ref="F10:R17"/>
  <sheetViews>
    <sheetView topLeftCell="D16" workbookViewId="0">
      <selection activeCell="D16" sqref="D16"/>
    </sheetView>
  </sheetViews>
  <sheetFormatPr defaultRowHeight="15"/>
  <cols>
    <col min="6" max="6" width="23.140625" bestFit="1" customWidth="1"/>
    <col min="9" max="9" width="36.5703125" bestFit="1" customWidth="1"/>
    <col min="12" max="12" width="9.42578125" bestFit="1" customWidth="1"/>
    <col min="18" max="18" width="11.42578125" bestFit="1" customWidth="1"/>
  </cols>
  <sheetData>
    <row r="10" spans="6:18" ht="34.5">
      <c r="F10" s="9">
        <f>SUM('Raw data'!P2:P201)</f>
        <v>127524</v>
      </c>
      <c r="K10" s="8">
        <f>COUNTA('Raw data'!A2:A201)</f>
        <v>200</v>
      </c>
      <c r="R10" s="10">
        <f>AVERAGE('Raw data'!O2:O201)</f>
        <v>15.045</v>
      </c>
    </row>
    <row r="17" spans="9:16" ht="26.25">
      <c r="I17" s="11">
        <f>COUNTIF('Raw data'!J2:K200,"Emergency")/COUNTA('Raw data'!A2:A200)</f>
        <v>0.34170854271356782</v>
      </c>
      <c r="P17" s="12">
        <f>AVERAGE('Raw data'!T2:T200)</f>
        <v>3.5746733668341748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5DC2-B240-49FA-8D84-454B93A3CDC5}">
  <dimension ref="A2:Q32"/>
  <sheetViews>
    <sheetView workbookViewId="0">
      <selection activeCell="J26" sqref="J26"/>
    </sheetView>
  </sheetViews>
  <sheetFormatPr defaultRowHeight="15"/>
  <cols>
    <col min="1" max="1" width="19" bestFit="1" customWidth="1"/>
    <col min="2" max="2" width="20" bestFit="1" customWidth="1"/>
    <col min="3" max="3" width="7.7109375" bestFit="1" customWidth="1"/>
    <col min="4" max="4" width="15.7109375" bestFit="1" customWidth="1"/>
    <col min="5" max="5" width="11.140625" bestFit="1" customWidth="1"/>
    <col min="6" max="6" width="14.7109375" bestFit="1" customWidth="1"/>
    <col min="7" max="7" width="15.85546875" bestFit="1" customWidth="1"/>
    <col min="8" max="8" width="26.140625" bestFit="1" customWidth="1"/>
    <col min="9" max="9" width="14.7109375" bestFit="1" customWidth="1"/>
    <col min="10" max="10" width="12.28515625" bestFit="1" customWidth="1"/>
    <col min="11" max="11" width="4.28515625" customWidth="1"/>
    <col min="12" max="12" width="16.42578125" bestFit="1" customWidth="1"/>
    <col min="13" max="13" width="11.140625" bestFit="1" customWidth="1"/>
    <col min="14" max="14" width="9.85546875" bestFit="1" customWidth="1"/>
    <col min="15" max="15" width="9.140625" bestFit="1" customWidth="1"/>
    <col min="16" max="16" width="11.85546875" bestFit="1" customWidth="1"/>
    <col min="17" max="17" width="11.140625" bestFit="1" customWidth="1"/>
    <col min="18" max="18" width="9.140625" bestFit="1" customWidth="1"/>
    <col min="19" max="19" width="11.85546875" bestFit="1" customWidth="1"/>
    <col min="20" max="21" width="11.140625" bestFit="1" customWidth="1"/>
    <col min="22" max="22" width="19.140625" bestFit="1" customWidth="1"/>
    <col min="23" max="23" width="17.28515625" bestFit="1" customWidth="1"/>
    <col min="24" max="24" width="12.28515625" bestFit="1" customWidth="1"/>
    <col min="25" max="25" width="4.28515625" bestFit="1" customWidth="1"/>
    <col min="26" max="26" width="16.42578125" bestFit="1" customWidth="1"/>
    <col min="27" max="27" width="11.140625" bestFit="1" customWidth="1"/>
    <col min="29" max="29" width="11.85546875" bestFit="1" customWidth="1"/>
    <col min="30" max="30" width="20.28515625" bestFit="1" customWidth="1"/>
    <col min="31" max="31" width="15.5703125" bestFit="1" customWidth="1"/>
    <col min="32" max="32" width="4.28515625" bestFit="1" customWidth="1"/>
    <col min="33" max="33" width="16.42578125" bestFit="1" customWidth="1"/>
    <col min="34" max="34" width="11.140625" bestFit="1" customWidth="1"/>
    <col min="35" max="35" width="9.85546875" bestFit="1" customWidth="1"/>
    <col min="37" max="37" width="11.85546875" bestFit="1" customWidth="1"/>
    <col min="38" max="38" width="18.42578125" bestFit="1" customWidth="1"/>
    <col min="39" max="39" width="14.140625" bestFit="1" customWidth="1"/>
    <col min="40" max="40" width="12.28515625" bestFit="1" customWidth="1"/>
    <col min="41" max="41" width="4.28515625" bestFit="1" customWidth="1"/>
    <col min="42" max="42" width="16.42578125" bestFit="1" customWidth="1"/>
    <col min="43" max="43" width="11.140625" bestFit="1" customWidth="1"/>
    <col min="44" max="44" width="9.85546875" bestFit="1" customWidth="1"/>
    <col min="46" max="46" width="11.85546875" bestFit="1" customWidth="1"/>
    <col min="47" max="47" width="17" bestFit="1" customWidth="1"/>
    <col min="48" max="48" width="21.5703125" bestFit="1" customWidth="1"/>
    <col min="49" max="49" width="12.28515625" bestFit="1" customWidth="1"/>
    <col min="50" max="50" width="4.28515625" bestFit="1" customWidth="1"/>
    <col min="51" max="51" width="16.42578125" bestFit="1" customWidth="1"/>
    <col min="52" max="52" width="11.140625" bestFit="1" customWidth="1"/>
    <col min="53" max="53" width="9.85546875" bestFit="1" customWidth="1"/>
    <col min="55" max="55" width="11.85546875" bestFit="1" customWidth="1"/>
    <col min="56" max="56" width="24.42578125" bestFit="1" customWidth="1"/>
    <col min="57" max="57" width="17.7109375" bestFit="1" customWidth="1"/>
    <col min="58" max="58" width="4.28515625" bestFit="1" customWidth="1"/>
    <col min="59" max="59" width="16.42578125" bestFit="1" customWidth="1"/>
    <col min="60" max="60" width="11.140625" bestFit="1" customWidth="1"/>
    <col min="61" max="61" width="9.85546875" bestFit="1" customWidth="1"/>
    <col min="63" max="63" width="11.85546875" bestFit="1" customWidth="1"/>
    <col min="64" max="64" width="20.7109375" bestFit="1" customWidth="1"/>
    <col min="65" max="65" width="20.5703125" bestFit="1" customWidth="1"/>
    <col min="66" max="66" width="4.28515625" bestFit="1" customWidth="1"/>
    <col min="67" max="67" width="16.42578125" bestFit="1" customWidth="1"/>
    <col min="68" max="68" width="11.140625" bestFit="1" customWidth="1"/>
    <col min="69" max="69" width="9.85546875" bestFit="1" customWidth="1"/>
    <col min="71" max="71" width="11.85546875" bestFit="1" customWidth="1"/>
    <col min="72" max="72" width="23.5703125" bestFit="1" customWidth="1"/>
    <col min="73" max="73" width="15.140625" bestFit="1" customWidth="1"/>
    <col min="74" max="74" width="12.28515625" bestFit="1" customWidth="1"/>
    <col min="75" max="75" width="4.28515625" bestFit="1" customWidth="1"/>
    <col min="76" max="76" width="11.140625" bestFit="1" customWidth="1"/>
    <col min="77" max="77" width="9.85546875" bestFit="1" customWidth="1"/>
    <col min="79" max="79" width="11.85546875" bestFit="1" customWidth="1"/>
    <col min="80" max="80" width="18" bestFit="1" customWidth="1"/>
    <col min="81" max="81" width="15.28515625" bestFit="1" customWidth="1"/>
    <col min="82" max="82" width="12.28515625" bestFit="1" customWidth="1"/>
    <col min="83" max="83" width="4.28515625" bestFit="1" customWidth="1"/>
    <col min="84" max="84" width="16.42578125" bestFit="1" customWidth="1"/>
    <col min="85" max="85" width="11.140625" bestFit="1" customWidth="1"/>
    <col min="86" max="86" width="9.85546875" bestFit="1" customWidth="1"/>
    <col min="88" max="88" width="11.85546875" bestFit="1" customWidth="1"/>
    <col min="89" max="89" width="18.28515625" bestFit="1" customWidth="1"/>
    <col min="90" max="90" width="16.7109375" bestFit="1" customWidth="1"/>
    <col min="91" max="91" width="16.42578125" bestFit="1" customWidth="1"/>
    <col min="92" max="92" width="11.140625" bestFit="1" customWidth="1"/>
    <col min="93" max="93" width="9.85546875" bestFit="1" customWidth="1"/>
    <col min="95" max="95" width="19.7109375" bestFit="1" customWidth="1"/>
    <col min="96" max="96" width="17.42578125" bestFit="1" customWidth="1"/>
    <col min="97" max="97" width="12.28515625" bestFit="1" customWidth="1"/>
    <col min="98" max="98" width="4.28515625" bestFit="1" customWidth="1"/>
    <col min="99" max="99" width="16.42578125" bestFit="1" customWidth="1"/>
    <col min="100" max="100" width="11.140625" bestFit="1" customWidth="1"/>
    <col min="101" max="101" width="9.85546875" bestFit="1" customWidth="1"/>
    <col min="103" max="103" width="11.85546875" bestFit="1" customWidth="1"/>
    <col min="104" max="104" width="20.42578125" bestFit="1" customWidth="1"/>
    <col min="105" max="105" width="11.140625" bestFit="1" customWidth="1"/>
  </cols>
  <sheetData>
    <row r="2" spans="1:17">
      <c r="A2" t="s">
        <v>475</v>
      </c>
      <c r="B2" t="s">
        <v>476</v>
      </c>
      <c r="C2" t="s">
        <v>477</v>
      </c>
      <c r="D2" t="s">
        <v>478</v>
      </c>
    </row>
    <row r="3" spans="1:17">
      <c r="A3" s="5">
        <v>200</v>
      </c>
      <c r="B3" s="5">
        <v>15.045</v>
      </c>
      <c r="C3" s="5">
        <v>3.5763000000000038</v>
      </c>
      <c r="D3" s="5">
        <v>127524</v>
      </c>
    </row>
    <row r="4" spans="1:17">
      <c r="H4" s="4" t="s">
        <v>475</v>
      </c>
      <c r="I4" s="4" t="s">
        <v>9</v>
      </c>
    </row>
    <row r="5" spans="1:17">
      <c r="H5" s="4" t="s">
        <v>7</v>
      </c>
      <c r="I5" t="s">
        <v>39</v>
      </c>
      <c r="J5" t="s">
        <v>94</v>
      </c>
      <c r="K5" t="s">
        <v>60</v>
      </c>
      <c r="L5" t="s">
        <v>84</v>
      </c>
      <c r="M5" t="s">
        <v>27</v>
      </c>
      <c r="N5" t="s">
        <v>73</v>
      </c>
      <c r="O5" t="s">
        <v>113</v>
      </c>
      <c r="P5" t="s">
        <v>67</v>
      </c>
      <c r="Q5" t="s">
        <v>479</v>
      </c>
    </row>
    <row r="6" spans="1:17">
      <c r="H6" t="s">
        <v>55</v>
      </c>
      <c r="I6" s="5">
        <v>4</v>
      </c>
      <c r="J6" s="5"/>
      <c r="K6" s="5">
        <v>5</v>
      </c>
      <c r="L6" s="5">
        <v>3</v>
      </c>
      <c r="M6" s="5">
        <v>2</v>
      </c>
      <c r="N6" s="5">
        <v>2</v>
      </c>
      <c r="O6" s="5">
        <v>2</v>
      </c>
      <c r="P6" s="5">
        <v>1</v>
      </c>
      <c r="Q6" s="5">
        <v>19</v>
      </c>
    </row>
    <row r="7" spans="1:17">
      <c r="H7" t="s">
        <v>125</v>
      </c>
      <c r="I7" s="5">
        <v>2</v>
      </c>
      <c r="J7" s="5">
        <v>1</v>
      </c>
      <c r="K7" s="5">
        <v>1</v>
      </c>
      <c r="L7" s="5">
        <v>2</v>
      </c>
      <c r="M7" s="5">
        <v>1</v>
      </c>
      <c r="N7" s="5">
        <v>3</v>
      </c>
      <c r="O7" s="5">
        <v>1</v>
      </c>
      <c r="P7" s="5">
        <v>2</v>
      </c>
      <c r="Q7" s="5">
        <v>13</v>
      </c>
    </row>
    <row r="8" spans="1:17">
      <c r="H8" t="s">
        <v>79</v>
      </c>
      <c r="I8" s="5">
        <v>3</v>
      </c>
      <c r="J8" s="5">
        <v>2</v>
      </c>
      <c r="K8" s="5">
        <v>1</v>
      </c>
      <c r="L8" s="5">
        <v>1</v>
      </c>
      <c r="M8" s="5">
        <v>5</v>
      </c>
      <c r="N8" s="5"/>
      <c r="O8" s="5">
        <v>3</v>
      </c>
      <c r="P8" s="5">
        <v>3</v>
      </c>
      <c r="Q8" s="5">
        <v>18</v>
      </c>
    </row>
    <row r="9" spans="1:17">
      <c r="H9" t="s">
        <v>92</v>
      </c>
      <c r="I9" s="5"/>
      <c r="J9" s="5">
        <v>3</v>
      </c>
      <c r="K9" s="5">
        <v>1</v>
      </c>
      <c r="L9" s="5">
        <v>2</v>
      </c>
      <c r="M9" s="5">
        <v>4</v>
      </c>
      <c r="N9" s="5">
        <v>1</v>
      </c>
      <c r="O9" s="5">
        <v>2</v>
      </c>
      <c r="P9" s="5">
        <v>2</v>
      </c>
      <c r="Q9" s="5">
        <v>15</v>
      </c>
    </row>
    <row r="10" spans="1:17">
      <c r="H10" t="s">
        <v>45</v>
      </c>
      <c r="I10" s="5">
        <v>1</v>
      </c>
      <c r="J10" s="5">
        <v>1</v>
      </c>
      <c r="K10" s="5">
        <v>1</v>
      </c>
      <c r="L10" s="5">
        <v>3</v>
      </c>
      <c r="M10" s="5">
        <v>1</v>
      </c>
      <c r="N10" s="5">
        <v>3</v>
      </c>
      <c r="O10" s="5">
        <v>1</v>
      </c>
      <c r="P10" s="5">
        <v>4</v>
      </c>
      <c r="Q10" s="5">
        <v>15</v>
      </c>
    </row>
    <row r="11" spans="1:17">
      <c r="H11" t="s">
        <v>65</v>
      </c>
      <c r="I11" s="5">
        <v>2</v>
      </c>
      <c r="J11" s="5">
        <v>3</v>
      </c>
      <c r="K11" s="5">
        <v>1</v>
      </c>
      <c r="L11" s="5">
        <v>1</v>
      </c>
      <c r="M11" s="5">
        <v>3</v>
      </c>
      <c r="N11" s="5">
        <v>1</v>
      </c>
      <c r="O11" s="5">
        <v>3</v>
      </c>
      <c r="P11" s="5">
        <v>2</v>
      </c>
      <c r="Q11" s="5">
        <v>16</v>
      </c>
    </row>
    <row r="12" spans="1:17">
      <c r="H12" t="s">
        <v>101</v>
      </c>
      <c r="I12" s="5"/>
      <c r="J12" s="5">
        <v>1</v>
      </c>
      <c r="K12" s="5">
        <v>1</v>
      </c>
      <c r="L12" s="5">
        <v>4</v>
      </c>
      <c r="M12" s="5">
        <v>3</v>
      </c>
      <c r="N12" s="5">
        <v>5</v>
      </c>
      <c r="O12" s="5">
        <v>2</v>
      </c>
      <c r="P12" s="5">
        <v>1</v>
      </c>
      <c r="Q12" s="5">
        <v>17</v>
      </c>
    </row>
    <row r="13" spans="1:17">
      <c r="H13" t="s">
        <v>25</v>
      </c>
      <c r="I13" s="5"/>
      <c r="J13" s="5">
        <v>4</v>
      </c>
      <c r="K13" s="5">
        <v>3</v>
      </c>
      <c r="L13" s="5">
        <v>2</v>
      </c>
      <c r="M13" s="5">
        <v>1</v>
      </c>
      <c r="N13" s="5">
        <v>1</v>
      </c>
      <c r="O13" s="5">
        <v>4</v>
      </c>
      <c r="P13" s="5">
        <v>2</v>
      </c>
      <c r="Q13" s="5">
        <v>17</v>
      </c>
    </row>
    <row r="14" spans="1:17">
      <c r="H14" t="s">
        <v>134</v>
      </c>
      <c r="I14" s="5">
        <v>5</v>
      </c>
      <c r="J14" s="5">
        <v>4</v>
      </c>
      <c r="K14" s="5">
        <v>5</v>
      </c>
      <c r="L14" s="5"/>
      <c r="M14" s="5">
        <v>1</v>
      </c>
      <c r="N14" s="5">
        <v>4</v>
      </c>
      <c r="O14" s="5">
        <v>1</v>
      </c>
      <c r="P14" s="5">
        <v>3</v>
      </c>
      <c r="Q14" s="5">
        <v>23</v>
      </c>
    </row>
    <row r="15" spans="1:17">
      <c r="H15" t="s">
        <v>147</v>
      </c>
      <c r="I15" s="5">
        <v>3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5</v>
      </c>
      <c r="P15" s="5">
        <v>2</v>
      </c>
      <c r="Q15" s="5">
        <v>15</v>
      </c>
    </row>
    <row r="16" spans="1:17">
      <c r="H16" t="s">
        <v>37</v>
      </c>
      <c r="I16" s="5">
        <v>3</v>
      </c>
      <c r="J16" s="5"/>
      <c r="K16" s="5"/>
      <c r="L16" s="5">
        <v>5</v>
      </c>
      <c r="M16" s="5">
        <v>2</v>
      </c>
      <c r="N16" s="5">
        <v>3</v>
      </c>
      <c r="O16" s="5">
        <v>2</v>
      </c>
      <c r="P16" s="5"/>
      <c r="Q16" s="5">
        <v>15</v>
      </c>
    </row>
    <row r="17" spans="1:17">
      <c r="H17" t="s">
        <v>116</v>
      </c>
      <c r="I17" s="5">
        <v>4</v>
      </c>
      <c r="J17" s="5">
        <v>2</v>
      </c>
      <c r="K17" s="5">
        <v>2</v>
      </c>
      <c r="L17" s="5">
        <v>1</v>
      </c>
      <c r="M17" s="5">
        <v>3</v>
      </c>
      <c r="N17" s="5">
        <v>1</v>
      </c>
      <c r="O17" s="5">
        <v>1</v>
      </c>
      <c r="P17" s="5">
        <v>3</v>
      </c>
      <c r="Q17" s="5">
        <v>17</v>
      </c>
    </row>
    <row r="18" spans="1:17">
      <c r="A18" s="4" t="s">
        <v>475</v>
      </c>
      <c r="B18" s="4" t="s">
        <v>10</v>
      </c>
      <c r="H18" t="s">
        <v>479</v>
      </c>
      <c r="I18" s="5">
        <v>27</v>
      </c>
      <c r="J18" s="5">
        <v>22</v>
      </c>
      <c r="K18" s="5">
        <v>22</v>
      </c>
      <c r="L18" s="5">
        <v>25</v>
      </c>
      <c r="M18" s="5">
        <v>27</v>
      </c>
      <c r="N18" s="5">
        <v>25</v>
      </c>
      <c r="O18" s="5">
        <v>27</v>
      </c>
      <c r="P18" s="5">
        <v>25</v>
      </c>
      <c r="Q18" s="5">
        <v>200</v>
      </c>
    </row>
    <row r="19" spans="1:17">
      <c r="A19" s="4" t="s">
        <v>7</v>
      </c>
      <c r="B19" t="s">
        <v>88</v>
      </c>
      <c r="C19" t="s">
        <v>28</v>
      </c>
      <c r="D19" t="s">
        <v>47</v>
      </c>
      <c r="E19" t="s">
        <v>479</v>
      </c>
    </row>
    <row r="20" spans="1:17">
      <c r="A20" t="s">
        <v>55</v>
      </c>
      <c r="B20" s="5">
        <v>5</v>
      </c>
      <c r="C20" s="5">
        <v>6</v>
      </c>
      <c r="D20" s="5">
        <v>8</v>
      </c>
      <c r="E20" s="5">
        <v>19</v>
      </c>
    </row>
    <row r="21" spans="1:17">
      <c r="A21" t="s">
        <v>125</v>
      </c>
      <c r="B21" s="5">
        <v>5</v>
      </c>
      <c r="C21" s="5">
        <v>5</v>
      </c>
      <c r="D21" s="5">
        <v>3</v>
      </c>
      <c r="E21" s="5">
        <v>13</v>
      </c>
    </row>
    <row r="22" spans="1:17">
      <c r="A22" t="s">
        <v>79</v>
      </c>
      <c r="B22" s="5">
        <v>5</v>
      </c>
      <c r="C22" s="5">
        <v>8</v>
      </c>
      <c r="D22" s="5">
        <v>5</v>
      </c>
      <c r="E22" s="5">
        <v>18</v>
      </c>
    </row>
    <row r="23" spans="1:17">
      <c r="A23" t="s">
        <v>92</v>
      </c>
      <c r="B23" s="5">
        <v>5</v>
      </c>
      <c r="C23" s="5">
        <v>3</v>
      </c>
      <c r="D23" s="5">
        <v>7</v>
      </c>
      <c r="E23" s="5">
        <v>15</v>
      </c>
      <c r="G23" s="4" t="s">
        <v>9</v>
      </c>
      <c r="H23" t="s">
        <v>480</v>
      </c>
    </row>
    <row r="24" spans="1:17">
      <c r="A24" t="s">
        <v>45</v>
      </c>
      <c r="B24" s="5">
        <v>4</v>
      </c>
      <c r="C24" s="5">
        <v>4</v>
      </c>
      <c r="D24" s="5">
        <v>7</v>
      </c>
      <c r="E24" s="5">
        <v>15</v>
      </c>
      <c r="G24" t="s">
        <v>39</v>
      </c>
      <c r="H24" s="5">
        <v>27</v>
      </c>
    </row>
    <row r="25" spans="1:17">
      <c r="A25" t="s">
        <v>65</v>
      </c>
      <c r="B25" s="5">
        <v>4</v>
      </c>
      <c r="C25" s="5">
        <v>4</v>
      </c>
      <c r="D25" s="5">
        <v>8</v>
      </c>
      <c r="E25" s="5">
        <v>16</v>
      </c>
      <c r="G25" t="s">
        <v>94</v>
      </c>
      <c r="H25" s="5">
        <v>22</v>
      </c>
    </row>
    <row r="26" spans="1:17">
      <c r="A26" t="s">
        <v>101</v>
      </c>
      <c r="B26" s="5">
        <v>9</v>
      </c>
      <c r="C26" s="5">
        <v>4</v>
      </c>
      <c r="D26" s="5">
        <v>4</v>
      </c>
      <c r="E26" s="5">
        <v>17</v>
      </c>
      <c r="G26" t="s">
        <v>60</v>
      </c>
      <c r="H26" s="5">
        <v>22</v>
      </c>
    </row>
    <row r="27" spans="1:17">
      <c r="A27" t="s">
        <v>25</v>
      </c>
      <c r="B27" s="5">
        <v>5</v>
      </c>
      <c r="C27" s="5">
        <v>7</v>
      </c>
      <c r="D27" s="5">
        <v>5</v>
      </c>
      <c r="E27" s="5">
        <v>17</v>
      </c>
      <c r="G27" t="s">
        <v>84</v>
      </c>
      <c r="H27" s="5">
        <v>25</v>
      </c>
    </row>
    <row r="28" spans="1:17">
      <c r="A28" t="s">
        <v>134</v>
      </c>
      <c r="B28" s="5">
        <v>10</v>
      </c>
      <c r="C28" s="5">
        <v>8</v>
      </c>
      <c r="D28" s="5">
        <v>5</v>
      </c>
      <c r="E28" s="5">
        <v>23</v>
      </c>
      <c r="G28" t="s">
        <v>27</v>
      </c>
      <c r="H28" s="5">
        <v>27</v>
      </c>
    </row>
    <row r="29" spans="1:17">
      <c r="A29" t="s">
        <v>147</v>
      </c>
      <c r="B29" s="5">
        <v>6</v>
      </c>
      <c r="C29" s="5">
        <v>5</v>
      </c>
      <c r="D29" s="5">
        <v>4</v>
      </c>
      <c r="E29" s="5">
        <v>15</v>
      </c>
      <c r="G29" t="s">
        <v>73</v>
      </c>
      <c r="H29" s="5">
        <v>25</v>
      </c>
    </row>
    <row r="30" spans="1:17">
      <c r="A30" t="s">
        <v>37</v>
      </c>
      <c r="B30" s="5">
        <v>7</v>
      </c>
      <c r="C30" s="5">
        <v>1</v>
      </c>
      <c r="D30" s="5">
        <v>7</v>
      </c>
      <c r="E30" s="5">
        <v>15</v>
      </c>
      <c r="G30" t="s">
        <v>113</v>
      </c>
      <c r="H30" s="5">
        <v>27</v>
      </c>
    </row>
    <row r="31" spans="1:17">
      <c r="A31" t="s">
        <v>116</v>
      </c>
      <c r="B31" s="5">
        <v>3</v>
      </c>
      <c r="C31" s="5">
        <v>5</v>
      </c>
      <c r="D31" s="5">
        <v>9</v>
      </c>
      <c r="E31" s="5">
        <v>17</v>
      </c>
      <c r="G31" t="s">
        <v>67</v>
      </c>
      <c r="H31" s="5">
        <v>25</v>
      </c>
    </row>
    <row r="32" spans="1:17">
      <c r="A32" t="s">
        <v>479</v>
      </c>
      <c r="B32" s="5">
        <v>68</v>
      </c>
      <c r="C32" s="5">
        <v>60</v>
      </c>
      <c r="D32" s="5">
        <v>72</v>
      </c>
      <c r="E32" s="5">
        <v>200</v>
      </c>
      <c r="G32" t="s">
        <v>479</v>
      </c>
      <c r="H32" s="5">
        <v>200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B3D3-C61E-4A8A-9638-1E411BBDEE88}">
  <dimension ref="B5:T81"/>
  <sheetViews>
    <sheetView tabSelected="1" workbookViewId="0">
      <selection activeCell="W11" sqref="W11"/>
    </sheetView>
  </sheetViews>
  <sheetFormatPr defaultRowHeight="15"/>
  <cols>
    <col min="1" max="2" width="11.140625" bestFit="1" customWidth="1"/>
    <col min="3" max="3" width="23.7109375" customWidth="1"/>
    <col min="6" max="6" width="17.5703125" customWidth="1"/>
    <col min="7" max="7" width="19.5703125" customWidth="1"/>
    <col min="8" max="8" width="6.28515625" bestFit="1" customWidth="1"/>
    <col min="9" max="9" width="9" bestFit="1" customWidth="1"/>
    <col min="10" max="10" width="11.140625" customWidth="1"/>
    <col min="11" max="11" width="15.85546875" bestFit="1" customWidth="1"/>
    <col min="12" max="12" width="20" bestFit="1" customWidth="1"/>
    <col min="13" max="13" width="7.7109375" bestFit="1" customWidth="1"/>
    <col min="14" max="14" width="15.7109375" customWidth="1"/>
    <col min="15" max="15" width="11.140625" customWidth="1"/>
    <col min="19" max="19" width="17.7109375" customWidth="1"/>
    <col min="20" max="20" width="24.140625" customWidth="1"/>
  </cols>
  <sheetData>
    <row r="5" spans="2:20">
      <c r="F5" s="14" t="s">
        <v>9</v>
      </c>
      <c r="G5" s="14" t="s">
        <v>481</v>
      </c>
    </row>
    <row r="6" spans="2:20">
      <c r="B6" s="13" t="s">
        <v>5</v>
      </c>
      <c r="C6" s="13" t="s">
        <v>478</v>
      </c>
      <c r="F6" t="s">
        <v>39</v>
      </c>
      <c r="G6" s="5">
        <v>97.300000000000011</v>
      </c>
      <c r="K6" s="13" t="s">
        <v>482</v>
      </c>
      <c r="L6" s="13" t="s">
        <v>10</v>
      </c>
      <c r="M6" s="13"/>
      <c r="N6" s="13"/>
      <c r="O6" s="13"/>
      <c r="S6" s="13" t="s">
        <v>8</v>
      </c>
      <c r="T6" s="13" t="s">
        <v>477</v>
      </c>
    </row>
    <row r="7" spans="2:20">
      <c r="B7" t="s">
        <v>53</v>
      </c>
      <c r="C7" s="5">
        <v>27437</v>
      </c>
      <c r="F7" t="s">
        <v>94</v>
      </c>
      <c r="G7" s="5">
        <v>75.139999999999986</v>
      </c>
      <c r="K7" s="13" t="s">
        <v>9</v>
      </c>
      <c r="L7" s="13" t="s">
        <v>88</v>
      </c>
      <c r="M7" s="13" t="s">
        <v>28</v>
      </c>
      <c r="N7" s="13" t="s">
        <v>47</v>
      </c>
      <c r="O7" s="13" t="s">
        <v>479</v>
      </c>
      <c r="S7" t="s">
        <v>394</v>
      </c>
      <c r="T7" s="5">
        <v>3.31</v>
      </c>
    </row>
    <row r="8" spans="2:20">
      <c r="B8" t="s">
        <v>23</v>
      </c>
      <c r="C8" s="5">
        <v>41490</v>
      </c>
      <c r="F8" t="s">
        <v>60</v>
      </c>
      <c r="G8" s="5">
        <v>73.499999999999986</v>
      </c>
      <c r="K8" t="s">
        <v>39</v>
      </c>
      <c r="L8" s="5">
        <v>6</v>
      </c>
      <c r="M8" s="5">
        <v>10</v>
      </c>
      <c r="N8" s="5">
        <v>11</v>
      </c>
      <c r="O8" s="5">
        <v>27</v>
      </c>
      <c r="S8" t="s">
        <v>174</v>
      </c>
      <c r="T8" s="5">
        <v>3.55</v>
      </c>
    </row>
    <row r="9" spans="2:20">
      <c r="B9" t="s">
        <v>77</v>
      </c>
      <c r="C9" s="5">
        <v>32583</v>
      </c>
      <c r="F9" t="s">
        <v>84</v>
      </c>
      <c r="G9" s="5">
        <v>82.07</v>
      </c>
      <c r="K9" t="s">
        <v>94</v>
      </c>
      <c r="L9" s="5">
        <v>9</v>
      </c>
      <c r="M9" s="5">
        <v>6</v>
      </c>
      <c r="N9" s="5">
        <v>7</v>
      </c>
      <c r="O9" s="5">
        <v>22</v>
      </c>
      <c r="S9" t="s">
        <v>276</v>
      </c>
      <c r="T9" s="5">
        <v>2.73</v>
      </c>
    </row>
    <row r="10" spans="2:20">
      <c r="B10" t="s">
        <v>35</v>
      </c>
      <c r="C10" s="5">
        <v>26014</v>
      </c>
      <c r="F10" t="s">
        <v>27</v>
      </c>
      <c r="G10" s="5">
        <v>102.52000000000001</v>
      </c>
      <c r="K10" t="s">
        <v>60</v>
      </c>
      <c r="L10" s="5">
        <v>8</v>
      </c>
      <c r="M10" s="5">
        <v>9</v>
      </c>
      <c r="N10" s="5">
        <v>5</v>
      </c>
      <c r="O10" s="5">
        <v>22</v>
      </c>
      <c r="S10" t="s">
        <v>102</v>
      </c>
      <c r="T10" s="5">
        <v>3.7099999999999995</v>
      </c>
    </row>
    <row r="11" spans="2:20">
      <c r="B11" t="s">
        <v>479</v>
      </c>
      <c r="C11" s="5">
        <v>127524</v>
      </c>
      <c r="F11" t="s">
        <v>73</v>
      </c>
      <c r="G11" s="5">
        <v>90.339999999999989</v>
      </c>
      <c r="K11" t="s">
        <v>84</v>
      </c>
      <c r="L11" s="5">
        <v>11</v>
      </c>
      <c r="M11" s="5">
        <v>3</v>
      </c>
      <c r="N11" s="5">
        <v>11</v>
      </c>
      <c r="O11" s="5">
        <v>25</v>
      </c>
      <c r="S11" t="s">
        <v>217</v>
      </c>
      <c r="T11" s="5">
        <v>2.915</v>
      </c>
    </row>
    <row r="12" spans="2:20">
      <c r="F12" t="s">
        <v>113</v>
      </c>
      <c r="G12" s="5">
        <v>98.800000000000011</v>
      </c>
      <c r="K12" t="s">
        <v>27</v>
      </c>
      <c r="L12" s="5">
        <v>8</v>
      </c>
      <c r="M12" s="5">
        <v>9</v>
      </c>
      <c r="N12" s="5">
        <v>10</v>
      </c>
      <c r="O12" s="5">
        <v>27</v>
      </c>
      <c r="S12" t="s">
        <v>171</v>
      </c>
      <c r="T12" s="5">
        <v>3.7649999999999997</v>
      </c>
    </row>
    <row r="13" spans="2:20">
      <c r="F13" t="s">
        <v>67</v>
      </c>
      <c r="G13" s="5">
        <v>95.59</v>
      </c>
      <c r="K13" t="s">
        <v>73</v>
      </c>
      <c r="L13" s="5">
        <v>8</v>
      </c>
      <c r="M13" s="5">
        <v>8</v>
      </c>
      <c r="N13" s="5">
        <v>9</v>
      </c>
      <c r="O13" s="5">
        <v>25</v>
      </c>
      <c r="S13" t="s">
        <v>144</v>
      </c>
      <c r="T13" s="5">
        <v>3.8666666666666671</v>
      </c>
    </row>
    <row r="14" spans="2:20">
      <c r="F14" t="s">
        <v>479</v>
      </c>
      <c r="G14" s="5">
        <v>715.2600000000001</v>
      </c>
      <c r="K14" t="s">
        <v>113</v>
      </c>
      <c r="L14" s="5">
        <v>9</v>
      </c>
      <c r="M14" s="5">
        <v>12</v>
      </c>
      <c r="N14" s="5">
        <v>6</v>
      </c>
      <c r="O14" s="5">
        <v>27</v>
      </c>
      <c r="S14" t="s">
        <v>72</v>
      </c>
      <c r="T14" s="5">
        <v>3.3650000000000002</v>
      </c>
    </row>
    <row r="15" spans="2:20">
      <c r="K15" t="s">
        <v>67</v>
      </c>
      <c r="L15" s="5">
        <v>9</v>
      </c>
      <c r="M15" s="5">
        <v>3</v>
      </c>
      <c r="N15" s="5">
        <v>13</v>
      </c>
      <c r="O15" s="5">
        <v>25</v>
      </c>
      <c r="S15" t="s">
        <v>449</v>
      </c>
      <c r="T15" s="5">
        <v>4.5999999999999996</v>
      </c>
    </row>
    <row r="16" spans="2:20">
      <c r="K16" t="s">
        <v>479</v>
      </c>
      <c r="L16" s="5">
        <v>68</v>
      </c>
      <c r="M16" s="5">
        <v>60</v>
      </c>
      <c r="N16" s="5">
        <v>72</v>
      </c>
      <c r="O16" s="5">
        <v>200</v>
      </c>
      <c r="S16" t="s">
        <v>135</v>
      </c>
      <c r="T16" s="5">
        <v>2.73</v>
      </c>
    </row>
    <row r="17" spans="2:20">
      <c r="S17" t="s">
        <v>255</v>
      </c>
      <c r="T17" s="5">
        <v>2.73</v>
      </c>
    </row>
    <row r="18" spans="2:20">
      <c r="S18" t="s">
        <v>26</v>
      </c>
      <c r="T18" s="5">
        <v>3.6520000000000001</v>
      </c>
    </row>
    <row r="19" spans="2:20">
      <c r="S19" t="s">
        <v>87</v>
      </c>
      <c r="T19" s="5">
        <v>3.1</v>
      </c>
    </row>
    <row r="20" spans="2:20">
      <c r="S20" t="s">
        <v>207</v>
      </c>
      <c r="T20" s="5">
        <v>3.415</v>
      </c>
    </row>
    <row r="21" spans="2:20">
      <c r="S21" t="s">
        <v>293</v>
      </c>
      <c r="T21" s="5">
        <v>3.5100000000000002</v>
      </c>
    </row>
    <row r="22" spans="2:20">
      <c r="F22" s="13" t="s">
        <v>483</v>
      </c>
      <c r="G22" s="13" t="s">
        <v>18</v>
      </c>
      <c r="H22" s="13"/>
      <c r="I22" s="13"/>
      <c r="J22" s="13"/>
      <c r="S22" t="s">
        <v>150</v>
      </c>
      <c r="T22" s="5">
        <v>3.41</v>
      </c>
    </row>
    <row r="23" spans="2:20">
      <c r="B23" s="13" t="s">
        <v>10</v>
      </c>
      <c r="C23" s="13" t="s">
        <v>484</v>
      </c>
      <c r="F23" s="13" t="s">
        <v>5</v>
      </c>
      <c r="G23" s="13" t="s">
        <v>41</v>
      </c>
      <c r="H23" s="13" t="s">
        <v>32</v>
      </c>
      <c r="I23" s="13" t="s">
        <v>49</v>
      </c>
      <c r="J23" s="13" t="s">
        <v>479</v>
      </c>
      <c r="N23" s="13" t="s">
        <v>7</v>
      </c>
      <c r="O23" s="13" t="s">
        <v>485</v>
      </c>
      <c r="S23" t="s">
        <v>325</v>
      </c>
      <c r="T23" s="5">
        <v>3.8</v>
      </c>
    </row>
    <row r="24" spans="2:20">
      <c r="B24" t="s">
        <v>88</v>
      </c>
      <c r="C24" s="5">
        <v>68</v>
      </c>
      <c r="F24" t="s">
        <v>53</v>
      </c>
      <c r="G24" s="5">
        <v>9067</v>
      </c>
      <c r="H24" s="5">
        <v>8979</v>
      </c>
      <c r="I24" s="5">
        <v>9391</v>
      </c>
      <c r="J24" s="5">
        <v>27437</v>
      </c>
      <c r="N24" t="s">
        <v>55</v>
      </c>
      <c r="O24" s="7">
        <v>64.740000000000009</v>
      </c>
      <c r="S24" t="s">
        <v>215</v>
      </c>
      <c r="T24" s="5">
        <v>3.4649999999999999</v>
      </c>
    </row>
    <row r="25" spans="2:20">
      <c r="B25" t="s">
        <v>28</v>
      </c>
      <c r="C25" s="5">
        <v>60</v>
      </c>
      <c r="F25" t="s">
        <v>23</v>
      </c>
      <c r="G25" s="5">
        <v>10331</v>
      </c>
      <c r="H25" s="5">
        <v>14266</v>
      </c>
      <c r="I25" s="5">
        <v>16893</v>
      </c>
      <c r="J25" s="5">
        <v>41490</v>
      </c>
      <c r="N25" t="s">
        <v>125</v>
      </c>
      <c r="O25" s="7">
        <v>46.89</v>
      </c>
      <c r="S25" t="s">
        <v>128</v>
      </c>
      <c r="T25" s="5">
        <v>4.7</v>
      </c>
    </row>
    <row r="26" spans="2:20">
      <c r="B26" t="s">
        <v>47</v>
      </c>
      <c r="C26" s="5">
        <v>72</v>
      </c>
      <c r="F26" t="s">
        <v>77</v>
      </c>
      <c r="G26" s="5">
        <v>6009</v>
      </c>
      <c r="H26" s="5">
        <v>11819</v>
      </c>
      <c r="I26" s="5">
        <v>14755</v>
      </c>
      <c r="J26" s="5">
        <v>32583</v>
      </c>
      <c r="N26" t="s">
        <v>79</v>
      </c>
      <c r="O26" s="7">
        <v>67.949999999999989</v>
      </c>
      <c r="S26" t="s">
        <v>119</v>
      </c>
      <c r="T26" s="5">
        <v>3.4433333333333329</v>
      </c>
    </row>
    <row r="27" spans="2:20">
      <c r="B27" t="s">
        <v>479</v>
      </c>
      <c r="C27" s="5">
        <v>200</v>
      </c>
      <c r="F27" t="s">
        <v>35</v>
      </c>
      <c r="G27" s="5">
        <v>9839</v>
      </c>
      <c r="H27" s="5">
        <v>6692</v>
      </c>
      <c r="I27" s="5">
        <v>9483</v>
      </c>
      <c r="J27" s="5">
        <v>26014</v>
      </c>
      <c r="N27" t="s">
        <v>92</v>
      </c>
      <c r="O27" s="7">
        <v>50.08</v>
      </c>
      <c r="S27" t="s">
        <v>93</v>
      </c>
      <c r="T27" s="5">
        <v>3.081666666666667</v>
      </c>
    </row>
    <row r="28" spans="2:20">
      <c r="F28" t="s">
        <v>479</v>
      </c>
      <c r="G28" s="5">
        <v>35246</v>
      </c>
      <c r="H28" s="5">
        <v>41756</v>
      </c>
      <c r="I28" s="5">
        <v>50522</v>
      </c>
      <c r="J28" s="5">
        <v>127524</v>
      </c>
      <c r="N28" t="s">
        <v>45</v>
      </c>
      <c r="O28" s="7">
        <v>58.059999999999988</v>
      </c>
      <c r="S28" t="s">
        <v>106</v>
      </c>
      <c r="T28" s="5">
        <v>3.0149999999999997</v>
      </c>
    </row>
    <row r="29" spans="2:20">
      <c r="N29" t="s">
        <v>65</v>
      </c>
      <c r="O29" s="7">
        <v>56.649999999999984</v>
      </c>
      <c r="S29" t="s">
        <v>302</v>
      </c>
      <c r="T29" s="5">
        <v>4.166666666666667</v>
      </c>
    </row>
    <row r="30" spans="2:20">
      <c r="N30" t="s">
        <v>101</v>
      </c>
      <c r="O30" s="7">
        <v>59.35</v>
      </c>
      <c r="S30" t="s">
        <v>378</v>
      </c>
      <c r="T30" s="5">
        <v>3.9575</v>
      </c>
    </row>
    <row r="31" spans="2:20">
      <c r="N31" t="s">
        <v>25</v>
      </c>
      <c r="O31" s="7">
        <v>63.55</v>
      </c>
      <c r="S31" t="s">
        <v>316</v>
      </c>
      <c r="T31" s="5">
        <v>3.3075000000000001</v>
      </c>
    </row>
    <row r="32" spans="2:20">
      <c r="N32" t="s">
        <v>134</v>
      </c>
      <c r="O32" s="7">
        <v>84.949999999999989</v>
      </c>
      <c r="S32" t="s">
        <v>80</v>
      </c>
      <c r="T32" s="5">
        <v>4.9000000000000004</v>
      </c>
    </row>
    <row r="33" spans="2:20">
      <c r="N33" t="s">
        <v>147</v>
      </c>
      <c r="O33" s="7">
        <v>53.449999999999996</v>
      </c>
      <c r="S33" t="s">
        <v>247</v>
      </c>
      <c r="T33" s="5">
        <v>3.415</v>
      </c>
    </row>
    <row r="34" spans="2:20">
      <c r="N34" t="s">
        <v>37</v>
      </c>
      <c r="O34" s="7">
        <v>52.480000000000004</v>
      </c>
      <c r="S34" t="s">
        <v>131</v>
      </c>
      <c r="T34" s="5">
        <v>3.2</v>
      </c>
    </row>
    <row r="35" spans="2:20">
      <c r="B35" s="13" t="s">
        <v>94</v>
      </c>
      <c r="C35" s="13" t="s">
        <v>476</v>
      </c>
      <c r="N35" t="s">
        <v>116</v>
      </c>
      <c r="O35" s="7">
        <v>57.109999999999992</v>
      </c>
      <c r="S35" t="s">
        <v>168</v>
      </c>
      <c r="T35" s="5">
        <v>3.45</v>
      </c>
    </row>
    <row r="36" spans="2:20">
      <c r="B36" t="s">
        <v>39</v>
      </c>
      <c r="C36" s="5">
        <v>11.222222222222221</v>
      </c>
      <c r="N36" t="s">
        <v>479</v>
      </c>
      <c r="O36" s="5">
        <v>715.2600000000001</v>
      </c>
      <c r="S36" t="s">
        <v>212</v>
      </c>
      <c r="T36" s="5">
        <v>4.05</v>
      </c>
    </row>
    <row r="37" spans="2:20">
      <c r="B37" t="s">
        <v>94</v>
      </c>
      <c r="C37" s="5">
        <v>13.454545454545455</v>
      </c>
      <c r="S37" t="s">
        <v>46</v>
      </c>
      <c r="T37" s="5">
        <v>4.4000000000000004</v>
      </c>
    </row>
    <row r="38" spans="2:20">
      <c r="B38" t="s">
        <v>60</v>
      </c>
      <c r="C38" s="5">
        <v>14.681818181818182</v>
      </c>
      <c r="S38" t="s">
        <v>156</v>
      </c>
      <c r="T38" s="5">
        <v>4</v>
      </c>
    </row>
    <row r="39" spans="2:20">
      <c r="B39" t="s">
        <v>84</v>
      </c>
      <c r="C39" s="5">
        <v>13.44</v>
      </c>
      <c r="S39" t="s">
        <v>279</v>
      </c>
      <c r="T39" s="5">
        <v>2.8533333333333335</v>
      </c>
    </row>
    <row r="40" spans="2:20">
      <c r="B40" t="s">
        <v>27</v>
      </c>
      <c r="C40" s="5">
        <v>13.37037037037037</v>
      </c>
      <c r="S40" t="s">
        <v>314</v>
      </c>
      <c r="T40" s="5">
        <v>4.7</v>
      </c>
    </row>
    <row r="41" spans="2:20">
      <c r="B41" t="s">
        <v>73</v>
      </c>
      <c r="C41" s="5">
        <v>16.04</v>
      </c>
      <c r="S41" t="s">
        <v>83</v>
      </c>
      <c r="T41" s="5">
        <v>4.1375000000000002</v>
      </c>
    </row>
    <row r="42" spans="2:20">
      <c r="B42" t="s">
        <v>113</v>
      </c>
      <c r="C42" s="5">
        <v>13.962962962962964</v>
      </c>
      <c r="S42" t="s">
        <v>290</v>
      </c>
      <c r="T42" s="5">
        <v>3.6433333333333331</v>
      </c>
    </row>
    <row r="43" spans="2:20">
      <c r="B43" t="s">
        <v>67</v>
      </c>
      <c r="C43" s="5">
        <v>24.48</v>
      </c>
      <c r="S43" t="s">
        <v>110</v>
      </c>
      <c r="T43" s="5">
        <v>2.73</v>
      </c>
    </row>
    <row r="44" spans="2:20">
      <c r="B44" t="s">
        <v>479</v>
      </c>
      <c r="C44" s="5">
        <v>15.045</v>
      </c>
      <c r="S44" t="s">
        <v>159</v>
      </c>
      <c r="T44" s="5">
        <v>3.1074999999999999</v>
      </c>
    </row>
    <row r="45" spans="2:20">
      <c r="S45" t="s">
        <v>406</v>
      </c>
      <c r="T45" s="5">
        <v>4.55</v>
      </c>
    </row>
    <row r="46" spans="2:20">
      <c r="S46" t="s">
        <v>97</v>
      </c>
      <c r="T46" s="5">
        <v>3.7824999999999998</v>
      </c>
    </row>
    <row r="47" spans="2:20">
      <c r="S47" t="s">
        <v>296</v>
      </c>
      <c r="T47" s="5">
        <v>3.4649999999999999</v>
      </c>
    </row>
    <row r="48" spans="2:20">
      <c r="S48" t="s">
        <v>408</v>
      </c>
      <c r="T48" s="5">
        <v>4</v>
      </c>
    </row>
    <row r="49" spans="19:20">
      <c r="S49" t="s">
        <v>350</v>
      </c>
      <c r="T49" s="5">
        <v>2.73</v>
      </c>
    </row>
    <row r="50" spans="19:20">
      <c r="S50" t="s">
        <v>309</v>
      </c>
      <c r="T50" s="5">
        <v>4</v>
      </c>
    </row>
    <row r="51" spans="19:20">
      <c r="S51" t="s">
        <v>443</v>
      </c>
      <c r="T51" s="5">
        <v>4.2</v>
      </c>
    </row>
    <row r="52" spans="19:20">
      <c r="S52" t="s">
        <v>234</v>
      </c>
      <c r="T52" s="5">
        <v>3.7766666666666668</v>
      </c>
    </row>
    <row r="53" spans="19:20">
      <c r="S53" t="s">
        <v>299</v>
      </c>
      <c r="T53" s="5">
        <v>3.7649999999999997</v>
      </c>
    </row>
    <row r="54" spans="19:20">
      <c r="S54" t="s">
        <v>153</v>
      </c>
      <c r="T54" s="5">
        <v>3.6825000000000001</v>
      </c>
    </row>
    <row r="55" spans="19:20">
      <c r="S55" t="s">
        <v>226</v>
      </c>
      <c r="T55" s="5">
        <v>3.61</v>
      </c>
    </row>
    <row r="56" spans="19:20">
      <c r="S56" t="s">
        <v>186</v>
      </c>
      <c r="T56" s="5">
        <v>3.3433333333333337</v>
      </c>
    </row>
    <row r="57" spans="19:20">
      <c r="S57" t="s">
        <v>284</v>
      </c>
      <c r="T57" s="5">
        <v>3.2100000000000004</v>
      </c>
    </row>
    <row r="58" spans="19:20">
      <c r="S58" t="s">
        <v>196</v>
      </c>
      <c r="T58" s="5">
        <v>3.7000000000000006</v>
      </c>
    </row>
    <row r="59" spans="19:20">
      <c r="S59" t="s">
        <v>122</v>
      </c>
      <c r="T59" s="5">
        <v>3.6999999999999997</v>
      </c>
    </row>
    <row r="60" spans="19:20">
      <c r="S60" t="s">
        <v>253</v>
      </c>
      <c r="T60" s="5">
        <v>3.3460000000000001</v>
      </c>
    </row>
    <row r="61" spans="19:20">
      <c r="S61" t="s">
        <v>220</v>
      </c>
      <c r="T61" s="5">
        <v>3.3533333333333335</v>
      </c>
    </row>
    <row r="62" spans="19:20">
      <c r="S62" t="s">
        <v>126</v>
      </c>
      <c r="T62" s="5">
        <v>3.5060000000000002</v>
      </c>
    </row>
    <row r="63" spans="19:20">
      <c r="S63" t="s">
        <v>425</v>
      </c>
      <c r="T63" s="5">
        <v>2.73</v>
      </c>
    </row>
    <row r="64" spans="19:20">
      <c r="S64" t="s">
        <v>259</v>
      </c>
      <c r="T64" s="5">
        <v>4.1259999999999994</v>
      </c>
    </row>
    <row r="65" spans="19:20">
      <c r="S65" t="s">
        <v>165</v>
      </c>
      <c r="T65" s="5">
        <v>3.7933333333333334</v>
      </c>
    </row>
    <row r="66" spans="19:20">
      <c r="S66" t="s">
        <v>391</v>
      </c>
      <c r="T66" s="5">
        <v>2.73</v>
      </c>
    </row>
    <row r="67" spans="19:20">
      <c r="S67" t="s">
        <v>59</v>
      </c>
      <c r="T67" s="5">
        <v>3.3149999999999999</v>
      </c>
    </row>
    <row r="68" spans="19:20">
      <c r="S68" t="s">
        <v>429</v>
      </c>
      <c r="T68" s="5">
        <v>4.8</v>
      </c>
    </row>
    <row r="69" spans="19:20">
      <c r="S69" t="s">
        <v>148</v>
      </c>
      <c r="T69" s="5">
        <v>4.4000000000000004</v>
      </c>
    </row>
    <row r="70" spans="19:20">
      <c r="S70" t="s">
        <v>413</v>
      </c>
      <c r="T70" s="5">
        <v>3.415</v>
      </c>
    </row>
    <row r="71" spans="19:20">
      <c r="S71" t="s">
        <v>179</v>
      </c>
      <c r="T71" s="5">
        <v>3.7000000000000006</v>
      </c>
    </row>
    <row r="72" spans="19:20">
      <c r="S72" t="s">
        <v>139</v>
      </c>
      <c r="T72" s="5">
        <v>4.1325000000000003</v>
      </c>
    </row>
    <row r="73" spans="19:20">
      <c r="S73" t="s">
        <v>162</v>
      </c>
      <c r="T73" s="5">
        <v>3.25</v>
      </c>
    </row>
    <row r="74" spans="19:20">
      <c r="S74" t="s">
        <v>38</v>
      </c>
      <c r="T74" s="5">
        <v>3.7149999999999999</v>
      </c>
    </row>
    <row r="75" spans="19:20">
      <c r="S75" t="s">
        <v>210</v>
      </c>
      <c r="T75" s="5">
        <v>2.73</v>
      </c>
    </row>
    <row r="76" spans="19:20">
      <c r="S76" t="s">
        <v>66</v>
      </c>
      <c r="T76" s="5">
        <v>3.5</v>
      </c>
    </row>
    <row r="77" spans="19:20">
      <c r="S77" t="s">
        <v>244</v>
      </c>
      <c r="T77" s="5">
        <v>3.3574999999999999</v>
      </c>
    </row>
    <row r="78" spans="19:20">
      <c r="S78" t="s">
        <v>203</v>
      </c>
      <c r="T78" s="5">
        <v>3.4</v>
      </c>
    </row>
    <row r="79" spans="19:20">
      <c r="S79" t="s">
        <v>343</v>
      </c>
      <c r="T79" s="5">
        <v>3.1150000000000002</v>
      </c>
    </row>
    <row r="80" spans="19:20">
      <c r="S80" t="s">
        <v>193</v>
      </c>
      <c r="T80" s="5">
        <v>3.2</v>
      </c>
    </row>
    <row r="81" spans="19:20">
      <c r="S81" t="s">
        <v>479</v>
      </c>
      <c r="T81" s="5">
        <v>3.5763000000000056</v>
      </c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2025-11-30T18:48:14Z</dcterms:created>
  <dcterms:modified xsi:type="dcterms:W3CDTF">2025-12-01T20:30:46Z</dcterms:modified>
  <cp:category/>
  <cp:contentStatus/>
</cp:coreProperties>
</file>